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/>
  </bookViews>
  <sheets>
    <sheet name="Артикулы" sheetId="3" r:id="rId1"/>
    <sheet name="Аббревиатуры товаров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<sst xmlns="http://schemas.openxmlformats.org/spreadsheetml/2006/main" count="611" uniqueCount="269">
  <si>
    <t>Номер баннера</t>
  </si>
  <si>
    <t>Аббревиатура товаров</t>
  </si>
  <si>
    <t>Тематика</t>
  </si>
  <si>
    <t>Номер отрисовки</t>
  </si>
  <si>
    <t>Артикул дизайнера</t>
  </si>
  <si>
    <t>Дата</t>
  </si>
  <si>
    <t>Наименование</t>
  </si>
  <si>
    <t>Артикул макета</t>
  </si>
  <si>
    <t>Артикул баннера</t>
  </si>
  <si>
    <t>01</t>
  </si>
  <si>
    <t>Ntr</t>
  </si>
  <si>
    <t>DeathG</t>
  </si>
  <si>
    <t>01.</t>
  </si>
  <si>
    <t>PQTC.</t>
  </si>
  <si>
    <t>26.02.26</t>
  </si>
  <si>
    <t>сериал Игра Смерти</t>
  </si>
  <si>
    <t>02</t>
  </si>
  <si>
    <t>02.</t>
  </si>
  <si>
    <t>03</t>
  </si>
  <si>
    <t>Kgr</t>
  </si>
  <si>
    <t>Madona</t>
  </si>
  <si>
    <t>03.</t>
  </si>
  <si>
    <t>Мадонна</t>
  </si>
  <si>
    <t>04</t>
  </si>
  <si>
    <t>04.</t>
  </si>
  <si>
    <t>05</t>
  </si>
  <si>
    <t>05.</t>
  </si>
  <si>
    <t>06</t>
  </si>
  <si>
    <t>06.</t>
  </si>
  <si>
    <t>07</t>
  </si>
  <si>
    <t>07.</t>
  </si>
  <si>
    <t>08</t>
  </si>
  <si>
    <t>08.</t>
  </si>
  <si>
    <t>09</t>
  </si>
  <si>
    <t>BMWTou</t>
  </si>
  <si>
    <t>09.</t>
  </si>
  <si>
    <t>BMW М5 Touring</t>
  </si>
  <si>
    <t>10</t>
  </si>
  <si>
    <t>10.</t>
  </si>
  <si>
    <t>11</t>
  </si>
  <si>
    <t>Cup</t>
  </si>
  <si>
    <t>BlaLov</t>
  </si>
  <si>
    <t>11.</t>
  </si>
  <si>
    <t>28.02.26</t>
  </si>
  <si>
    <t>Сериал Чёрная любовь</t>
  </si>
  <si>
    <t>12</t>
  </si>
  <si>
    <t>12.</t>
  </si>
  <si>
    <t>13</t>
  </si>
  <si>
    <t>13.</t>
  </si>
  <si>
    <t>14</t>
  </si>
  <si>
    <t>HowYou</t>
  </si>
  <si>
    <t>14.</t>
  </si>
  <si>
    <t>Сериал Повсюду Ты</t>
  </si>
  <si>
    <t>15</t>
  </si>
  <si>
    <t>15.</t>
  </si>
  <si>
    <t>16</t>
  </si>
  <si>
    <t>16.</t>
  </si>
  <si>
    <t>17</t>
  </si>
  <si>
    <t>Nice</t>
  </si>
  <si>
    <t>17.</t>
  </si>
  <si>
    <t>Ницца Negresco Hotel</t>
  </si>
  <si>
    <t>18</t>
  </si>
  <si>
    <t>18.</t>
  </si>
  <si>
    <t>Лазурный берег Ниццы</t>
  </si>
  <si>
    <t>19</t>
  </si>
  <si>
    <t>19.</t>
  </si>
  <si>
    <t>Ницца Нотр-Дам</t>
  </si>
  <si>
    <t>20</t>
  </si>
  <si>
    <t>20.</t>
  </si>
  <si>
    <t>Ницца церковь Нотр-Дам-дю-Порт</t>
  </si>
  <si>
    <t>21</t>
  </si>
  <si>
    <t>21.</t>
  </si>
  <si>
    <t>22</t>
  </si>
  <si>
    <t>22.</t>
  </si>
  <si>
    <t>Ницца Фонтан Апполона</t>
  </si>
  <si>
    <t>SAOPAU</t>
  </si>
  <si>
    <t>23.</t>
  </si>
  <si>
    <t>01.03.26</t>
  </si>
  <si>
    <t>Сан Пауло Кафедральный собор</t>
  </si>
  <si>
    <t>24.</t>
  </si>
  <si>
    <t>25.</t>
  </si>
  <si>
    <t>Сан Пауло пляж Сантос</t>
  </si>
  <si>
    <t>26.</t>
  </si>
  <si>
    <t>Сан Пауло Мост Октавио Фриас де Оливейра</t>
  </si>
  <si>
    <t>27.</t>
  </si>
  <si>
    <t>Сан Пауло Музей Паулиста</t>
  </si>
  <si>
    <t>ABUDHA</t>
  </si>
  <si>
    <t>28.</t>
  </si>
  <si>
    <t>Абу-Даби Мечеть шейха Заида</t>
  </si>
  <si>
    <t>29.</t>
  </si>
  <si>
    <t>30.</t>
  </si>
  <si>
    <t>Небоскребы Абу-Даби</t>
  </si>
  <si>
    <t>31.</t>
  </si>
  <si>
    <t>32.</t>
  </si>
  <si>
    <t>33.</t>
  </si>
  <si>
    <t>34.</t>
  </si>
  <si>
    <t>Абу-Даби</t>
  </si>
  <si>
    <t>35.</t>
  </si>
  <si>
    <t xml:space="preserve">Абу-Даби отель Rixos Marina </t>
  </si>
  <si>
    <t>36.</t>
  </si>
  <si>
    <t>37.</t>
  </si>
  <si>
    <t xml:space="preserve">Абу-Даби Лувр </t>
  </si>
  <si>
    <t>Phuket</t>
  </si>
  <si>
    <t>38.</t>
  </si>
  <si>
    <t>02.03.26</t>
  </si>
  <si>
    <t>Ночной Пхукет</t>
  </si>
  <si>
    <t>39.</t>
  </si>
  <si>
    <t>Пхукет</t>
  </si>
  <si>
    <t>40.</t>
  </si>
  <si>
    <t>Пхукет пляж Фридом</t>
  </si>
  <si>
    <t>41.</t>
  </si>
  <si>
    <t>Пхукет пляж Рейли</t>
  </si>
  <si>
    <t>42.</t>
  </si>
  <si>
    <t>Пхукет пляж Най Тон</t>
  </si>
  <si>
    <t>43.</t>
  </si>
  <si>
    <t>Пхукет остров Джеймса Бонда</t>
  </si>
  <si>
    <t>44.</t>
  </si>
  <si>
    <t>Пхукет острова Пхи Пхи</t>
  </si>
  <si>
    <t>45.</t>
  </si>
  <si>
    <t>Пхукет пейзаж</t>
  </si>
  <si>
    <t>46.</t>
  </si>
  <si>
    <t>Пхукет архипелаг Пипи</t>
  </si>
  <si>
    <t>47.</t>
  </si>
  <si>
    <t>Пхукет храм Карона</t>
  </si>
  <si>
    <t>48.</t>
  </si>
  <si>
    <t>49.</t>
  </si>
  <si>
    <t>Пхукет Пхи Пхи</t>
  </si>
  <si>
    <t>50.</t>
  </si>
  <si>
    <t>51.</t>
  </si>
  <si>
    <t>03.03.26</t>
  </si>
  <si>
    <t>Пхукет Большой Будда</t>
  </si>
  <si>
    <t>52.</t>
  </si>
  <si>
    <t>53.</t>
  </si>
  <si>
    <t>Пхукет Будда Шакьямуни</t>
  </si>
  <si>
    <t>54.</t>
  </si>
  <si>
    <t>Пхукет Гуань Инь</t>
  </si>
  <si>
    <t>55.</t>
  </si>
  <si>
    <t>Пхукет храм Ват Чалонг</t>
  </si>
  <si>
    <t>56.</t>
  </si>
  <si>
    <t>57.</t>
  </si>
  <si>
    <t>Пхукет парк FantaSea</t>
  </si>
  <si>
    <t>58.</t>
  </si>
  <si>
    <t>59.</t>
  </si>
  <si>
    <t>Пхукет закат</t>
  </si>
  <si>
    <t>60.</t>
  </si>
  <si>
    <t>61.</t>
  </si>
  <si>
    <t>Пхуке  ночной пляж</t>
  </si>
  <si>
    <t>62.</t>
  </si>
  <si>
    <t>63.</t>
  </si>
  <si>
    <t>Пхукет остров Рача-Яй</t>
  </si>
  <si>
    <t>64.</t>
  </si>
  <si>
    <t>65.</t>
  </si>
  <si>
    <t>RiodeJ</t>
  </si>
  <si>
    <t>66.</t>
  </si>
  <si>
    <t>04.03.26</t>
  </si>
  <si>
    <t>Рио-де-Жанейро Пан-ди-Асукар</t>
  </si>
  <si>
    <t>67.</t>
  </si>
  <si>
    <t>Рио-де-Жанейро статуя Христа Искупителя</t>
  </si>
  <si>
    <t>68.</t>
  </si>
  <si>
    <t>69.</t>
  </si>
  <si>
    <t>70.</t>
  </si>
  <si>
    <t>Рио-де-Жанейро закат статуя Христа Искупителя</t>
  </si>
  <si>
    <t>71.</t>
  </si>
  <si>
    <t>Рио-де-Жанейро</t>
  </si>
  <si>
    <t>72.</t>
  </si>
  <si>
    <t>73.</t>
  </si>
  <si>
    <t>Рио-де-Жанейро пляж Копакабана</t>
  </si>
  <si>
    <t>74.</t>
  </si>
  <si>
    <t xml:space="preserve">Вечерний Рио-де-Жанейро </t>
  </si>
  <si>
    <t>75.</t>
  </si>
  <si>
    <t>76.</t>
  </si>
  <si>
    <t>77.</t>
  </si>
  <si>
    <t>Ночной Рио-де-Жанейро</t>
  </si>
  <si>
    <t>78.</t>
  </si>
  <si>
    <t>79.</t>
  </si>
  <si>
    <t>Рассвет Рио-де-Жанейро</t>
  </si>
  <si>
    <t>80.</t>
  </si>
  <si>
    <t>81.</t>
  </si>
  <si>
    <t>Товар</t>
  </si>
  <si>
    <t>Аббревиатура</t>
  </si>
  <si>
    <t>Браслеты</t>
  </si>
  <si>
    <t>B</t>
  </si>
  <si>
    <t>Браслет косичка с серебряной плашкой</t>
  </si>
  <si>
    <t>Bls</t>
  </si>
  <si>
    <t>Браслет силиконовый с серебряной плашкой</t>
  </si>
  <si>
    <t>Brs</t>
  </si>
  <si>
    <t>Браслет широкий кожа с серебряной плашкой</t>
  </si>
  <si>
    <t>Bks</t>
  </si>
  <si>
    <t>Акрил</t>
  </si>
  <si>
    <t>A</t>
  </si>
  <si>
    <t>Акрил брелок</t>
  </si>
  <si>
    <t>Ake</t>
  </si>
  <si>
    <t>Акрил постер</t>
  </si>
  <si>
    <t>Apo</t>
  </si>
  <si>
    <t>Акрил ночник прямоугольник</t>
  </si>
  <si>
    <t>Anp</t>
  </si>
  <si>
    <t>Акрил ночник круг</t>
  </si>
  <si>
    <t>Ank</t>
  </si>
  <si>
    <t>Акрил серьги прямоугольник</t>
  </si>
  <si>
    <t>Asp</t>
  </si>
  <si>
    <t>Акрил серьги круг</t>
  </si>
  <si>
    <t>Ask</t>
  </si>
  <si>
    <t>Акрил значок</t>
  </si>
  <si>
    <t>Azk</t>
  </si>
  <si>
    <t>Акрил кулон</t>
  </si>
  <si>
    <t>Akp</t>
  </si>
  <si>
    <t>Жетоны</t>
  </si>
  <si>
    <t>K</t>
  </si>
  <si>
    <t>Жетон обычный гравировка</t>
  </si>
  <si>
    <t>Жетон обычный уф</t>
  </si>
  <si>
    <t>Kuf</t>
  </si>
  <si>
    <t>Обложки</t>
  </si>
  <si>
    <t>O</t>
  </si>
  <si>
    <t>Обложка на паспорта экокожа</t>
  </si>
  <si>
    <t>Ops</t>
  </si>
  <si>
    <t>Обложка на студенческий экокожа</t>
  </si>
  <si>
    <t>Osk</t>
  </si>
  <si>
    <t>Блокноты</t>
  </si>
  <si>
    <t>N</t>
  </si>
  <si>
    <t>Блокнот хдф твердый А5</t>
  </si>
  <si>
    <t>Зажигалки</t>
  </si>
  <si>
    <t>Z</t>
  </si>
  <si>
    <t>Зажигалка бензиновая металл</t>
  </si>
  <si>
    <t>Zbn</t>
  </si>
  <si>
    <t>Зажигалка электрическая металл</t>
  </si>
  <si>
    <t>Zel</t>
  </si>
  <si>
    <t>Кружки</t>
  </si>
  <si>
    <t>C</t>
  </si>
  <si>
    <t>Кружка керамическая белая</t>
  </si>
  <si>
    <t>Дерево</t>
  </si>
  <si>
    <t>W</t>
  </si>
  <si>
    <t>Мини-стела</t>
  </si>
  <si>
    <t>Wms</t>
  </si>
  <si>
    <t>Панно обычное</t>
  </si>
  <si>
    <t>Wpo</t>
  </si>
  <si>
    <t>Подвески</t>
  </si>
  <si>
    <t>P</t>
  </si>
  <si>
    <t>Подвеска круг</t>
  </si>
  <si>
    <t>Pkr</t>
  </si>
  <si>
    <t>Подвеска столбик</t>
  </si>
  <si>
    <t>Psb</t>
  </si>
  <si>
    <t>Другое</t>
  </si>
  <si>
    <t>X</t>
  </si>
  <si>
    <t>Шеврон прямоугольный</t>
  </si>
  <si>
    <t>Xsv</t>
  </si>
  <si>
    <t>Презервативы</t>
  </si>
  <si>
    <t>Xxx</t>
  </si>
  <si>
    <t>Брелок кожаный с металл. вставкой</t>
  </si>
  <si>
    <t>Xkm</t>
  </si>
  <si>
    <t>Книжка-брелок</t>
  </si>
  <si>
    <t>Xkb</t>
  </si>
  <si>
    <t>Бейдж</t>
  </si>
  <si>
    <t>Xbg</t>
  </si>
  <si>
    <t>Печать на принтере</t>
  </si>
  <si>
    <t>Y</t>
  </si>
  <si>
    <t>Постер А3 3 шт в комплекте</t>
  </si>
  <si>
    <t>Ypz</t>
  </si>
  <si>
    <t>Постер А3 1 шт в комплекте</t>
  </si>
  <si>
    <t>Ypr</t>
  </si>
  <si>
    <t>Ручки</t>
  </si>
  <si>
    <t>R</t>
  </si>
  <si>
    <t>Ручка бамбук 1 шт</t>
  </si>
  <si>
    <t>Rbc</t>
  </si>
  <si>
    <t>Ручка бамбук 4 шт</t>
  </si>
  <si>
    <t>Rbx</t>
  </si>
  <si>
    <t>Ручка черная (без пимпочки) 1 шт</t>
  </si>
  <si>
    <t>Ryc</t>
  </si>
  <si>
    <t>Ручка черная (без пимпочки) 4 шт</t>
  </si>
  <si>
    <t>Ryx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</si>
</sst>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2"/>
      <color rgb="FF999999"/>
      <name val="Calibri"/>
      <charset val="204"/>
      <scheme val="minor"/>
    </font>
    <font>
      <sz val="12"/>
      <color theme="1"/>
      <name val="Calibri"/>
      <charset val="204"/>
      <scheme val="minor"/>
    </font>
    <font>
      <sz val="11"/>
      <color theme="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Font="1"/>
    <xf numFmtId="49" fontId="0" fillId="0" borderId="0" xfId="0" applyNumberFormat="1"/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Font="1"/>
    <xf numFmtId="0" fontId="5" fillId="0" borderId="0" xfId="0" applyFont="1" applyAlignment="1">
      <alignment wrapText="1"/>
    </xf>
    <xf numFmtId="0" fontId="6" fillId="0" borderId="0" xfId="0" applyFont="1"/>
    <xf numFmtId="0" fontId="4" fillId="3" borderId="0" xfId="0" applyFont="1" applyFill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tabSelected="1" topLeftCell="A55" workbookViewId="0">
      <selection activeCell="L82" sqref="L82"/>
    </sheetView>
  </sheetViews>
  <sheetFormatPr defaultColWidth="10" defaultRowHeight="14.4"/>
  <cols>
    <col min="1" max="1" width="8.8859649122807" style="5" customWidth="1"/>
    <col min="2" max="2" width="3.66666666666667" customWidth="1"/>
    <col min="3" max="3" width="15.3333333333333" customWidth="1"/>
    <col min="4" max="4" width="11.4385964912281" style="6" customWidth="1"/>
    <col min="5" max="5" width="15.5526315789474" customWidth="1"/>
    <col min="6" max="6" width="11.3333333333333" customWidth="1"/>
    <col min="7" max="7" width="9.8859649122807" style="7" customWidth="1"/>
    <col min="8" max="8" width="28.1052631578947" customWidth="1"/>
    <col min="9" max="9" width="7.55263157894737" customWidth="1"/>
    <col min="10" max="10" width="29.6666666666667" customWidth="1"/>
    <col min="12" max="12" width="66.8859649122807" customWidth="1"/>
    <col min="16" max="16" width="8.8859649122807" customWidth="1"/>
  </cols>
  <sheetData>
    <row r="1" ht="39" customHeight="1" spans="1:12">
      <c r="A1" s="8" t="s">
        <v>0</v>
      </c>
      <c r="B1" s="9"/>
      <c r="C1" s="10" t="s">
        <v>1</v>
      </c>
      <c r="D1" s="10" t="s">
        <v>2</v>
      </c>
      <c r="E1" s="10" t="s">
        <v>3</v>
      </c>
      <c r="F1" s="10" t="s">
        <v>4</v>
      </c>
      <c r="G1" s="11" t="s">
        <v>5</v>
      </c>
      <c r="H1" s="10" t="s">
        <v>6</v>
      </c>
      <c r="I1" s="16"/>
      <c r="J1" s="16" t="s">
        <v>7</v>
      </c>
      <c r="K1" s="16"/>
      <c r="L1" s="16" t="s">
        <v>8</v>
      </c>
    </row>
    <row r="2" ht="16.35" spans="1:12">
      <c r="A2" s="12" t="s">
        <v>9</v>
      </c>
      <c r="B2" s="7"/>
      <c r="C2" s="4" t="s">
        <v>10</v>
      </c>
      <c r="D2" s="13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J2" s="7" t="str">
        <f t="shared" ref="J2:J65" si="0">C2&amp;D2&amp;E2&amp;F2&amp;G2</f>
        <v>NtrDeathG01.PQTC.26.02.26</v>
      </c>
      <c r="L2" t="str">
        <f t="shared" ref="L2:L65" si="1">A2&amp;" "&amp;C2&amp;D2&amp;E2&amp;F2&amp;G2&amp;" "&amp;H2</f>
        <v>01 NtrDeathG01.PQTC.26.02.26 сериал Игра Смерти</v>
      </c>
    </row>
    <row r="3" ht="16.35" spans="1:12">
      <c r="A3" s="12" t="s">
        <v>16</v>
      </c>
      <c r="B3" s="7"/>
      <c r="C3" s="4" t="s">
        <v>10</v>
      </c>
      <c r="D3" s="13" t="s">
        <v>11</v>
      </c>
      <c r="E3" s="7" t="s">
        <v>17</v>
      </c>
      <c r="F3" s="7" t="s">
        <v>13</v>
      </c>
      <c r="G3" s="7" t="s">
        <v>14</v>
      </c>
      <c r="H3" s="7" t="s">
        <v>15</v>
      </c>
      <c r="J3" s="7" t="str">
        <f t="shared" si="0"/>
        <v>NtrDeathG02.PQTC.26.02.26</v>
      </c>
      <c r="L3" t="str">
        <f t="shared" si="1"/>
        <v>02 NtrDeathG02.PQTC.26.02.26 сериал Игра Смерти</v>
      </c>
    </row>
    <row r="4" ht="16.35" spans="1:12">
      <c r="A4" s="12" t="s">
        <v>18</v>
      </c>
      <c r="B4" s="7"/>
      <c r="C4" s="4" t="s">
        <v>19</v>
      </c>
      <c r="D4" s="13" t="s">
        <v>20</v>
      </c>
      <c r="E4" s="7" t="s">
        <v>21</v>
      </c>
      <c r="F4" s="7" t="s">
        <v>13</v>
      </c>
      <c r="G4" s="7" t="s">
        <v>14</v>
      </c>
      <c r="H4" s="7" t="s">
        <v>22</v>
      </c>
      <c r="J4" s="7" t="str">
        <f t="shared" si="0"/>
        <v>KgrMadona03.PQTC.26.02.26</v>
      </c>
      <c r="L4" t="str">
        <f t="shared" si="1"/>
        <v>03 KgrMadona03.PQTC.26.02.26 Мадонна</v>
      </c>
    </row>
    <row r="5" ht="16.35" spans="1:12">
      <c r="A5" s="12" t="s">
        <v>23</v>
      </c>
      <c r="B5" s="7"/>
      <c r="C5" s="4" t="s">
        <v>19</v>
      </c>
      <c r="D5" s="13" t="s">
        <v>20</v>
      </c>
      <c r="E5" s="7" t="s">
        <v>24</v>
      </c>
      <c r="F5" s="7" t="s">
        <v>13</v>
      </c>
      <c r="G5" s="7" t="s">
        <v>14</v>
      </c>
      <c r="H5" s="7" t="s">
        <v>22</v>
      </c>
      <c r="J5" s="7" t="str">
        <f t="shared" si="0"/>
        <v>KgrMadona04.PQTC.26.02.26</v>
      </c>
      <c r="L5" t="str">
        <f t="shared" si="1"/>
        <v>04 KgrMadona04.PQTC.26.02.26 Мадонна</v>
      </c>
    </row>
    <row r="6" ht="16.35" spans="1:12">
      <c r="A6" s="12" t="s">
        <v>25</v>
      </c>
      <c r="B6" s="7"/>
      <c r="C6" s="4" t="s">
        <v>19</v>
      </c>
      <c r="D6" s="13" t="s">
        <v>20</v>
      </c>
      <c r="E6" s="7" t="s">
        <v>26</v>
      </c>
      <c r="F6" s="7" t="s">
        <v>13</v>
      </c>
      <c r="G6" s="7" t="s">
        <v>14</v>
      </c>
      <c r="H6" s="7" t="s">
        <v>22</v>
      </c>
      <c r="J6" s="7" t="str">
        <f t="shared" si="0"/>
        <v>KgrMadona05.PQTC.26.02.26</v>
      </c>
      <c r="L6" t="str">
        <f t="shared" si="1"/>
        <v>05 KgrMadona05.PQTC.26.02.26 Мадонна</v>
      </c>
    </row>
    <row r="7" ht="16.35" spans="1:12">
      <c r="A7" s="12" t="s">
        <v>27</v>
      </c>
      <c r="B7" s="7"/>
      <c r="C7" s="4" t="s">
        <v>10</v>
      </c>
      <c r="D7" s="13" t="s">
        <v>11</v>
      </c>
      <c r="E7" s="7" t="s">
        <v>28</v>
      </c>
      <c r="F7" s="7" t="s">
        <v>13</v>
      </c>
      <c r="G7" s="7" t="s">
        <v>14</v>
      </c>
      <c r="H7" s="7" t="s">
        <v>15</v>
      </c>
      <c r="J7" s="7" t="str">
        <f t="shared" si="0"/>
        <v>NtrDeathG06.PQTC.26.02.26</v>
      </c>
      <c r="L7" t="str">
        <f t="shared" si="1"/>
        <v>06 NtrDeathG06.PQTC.26.02.26 сериал Игра Смерти</v>
      </c>
    </row>
    <row r="8" ht="16.35" spans="1:12">
      <c r="A8" s="12" t="s">
        <v>29</v>
      </c>
      <c r="B8" s="7"/>
      <c r="C8" s="4" t="s">
        <v>10</v>
      </c>
      <c r="D8" s="13" t="s">
        <v>11</v>
      </c>
      <c r="E8" s="7" t="s">
        <v>30</v>
      </c>
      <c r="F8" s="7" t="s">
        <v>13</v>
      </c>
      <c r="G8" s="7" t="s">
        <v>14</v>
      </c>
      <c r="H8" s="7" t="s">
        <v>15</v>
      </c>
      <c r="J8" s="7" t="str">
        <f t="shared" si="0"/>
        <v>NtrDeathG07.PQTC.26.02.26</v>
      </c>
      <c r="L8" t="str">
        <f t="shared" si="1"/>
        <v>07 NtrDeathG07.PQTC.26.02.26 сериал Игра Смерти</v>
      </c>
    </row>
    <row r="9" ht="16.35" spans="1:12">
      <c r="A9" s="12" t="s">
        <v>31</v>
      </c>
      <c r="B9" s="7"/>
      <c r="C9" s="4" t="s">
        <v>10</v>
      </c>
      <c r="D9" s="13" t="s">
        <v>11</v>
      </c>
      <c r="E9" s="7" t="s">
        <v>32</v>
      </c>
      <c r="F9" s="7" t="s">
        <v>13</v>
      </c>
      <c r="G9" s="7" t="s">
        <v>14</v>
      </c>
      <c r="H9" s="7" t="s">
        <v>15</v>
      </c>
      <c r="J9" s="7" t="str">
        <f t="shared" si="0"/>
        <v>NtrDeathG08.PQTC.26.02.26</v>
      </c>
      <c r="L9" t="str">
        <f t="shared" si="1"/>
        <v>08 NtrDeathG08.PQTC.26.02.26 сериал Игра Смерти</v>
      </c>
    </row>
    <row r="10" ht="16.35" spans="1:12">
      <c r="A10" s="12" t="s">
        <v>33</v>
      </c>
      <c r="B10" s="7"/>
      <c r="C10" s="4" t="s">
        <v>19</v>
      </c>
      <c r="D10" s="13" t="s">
        <v>34</v>
      </c>
      <c r="E10" s="7" t="s">
        <v>35</v>
      </c>
      <c r="F10" s="7" t="s">
        <v>13</v>
      </c>
      <c r="G10" s="7" t="s">
        <v>14</v>
      </c>
      <c r="H10" s="7" t="s">
        <v>36</v>
      </c>
      <c r="J10" s="7" t="str">
        <f t="shared" si="0"/>
        <v>KgrBMWTou09.PQTC.26.02.26</v>
      </c>
      <c r="L10" t="str">
        <f t="shared" si="1"/>
        <v>09 KgrBMWTou09.PQTC.26.02.26 BMW М5 Touring</v>
      </c>
    </row>
    <row r="11" ht="16.35" spans="1:12">
      <c r="A11" s="12" t="s">
        <v>37</v>
      </c>
      <c r="B11" s="7"/>
      <c r="C11" s="4" t="s">
        <v>19</v>
      </c>
      <c r="D11" s="13" t="s">
        <v>34</v>
      </c>
      <c r="E11" s="7" t="s">
        <v>38</v>
      </c>
      <c r="F11" s="7" t="s">
        <v>13</v>
      </c>
      <c r="G11" s="7" t="s">
        <v>14</v>
      </c>
      <c r="H11" s="7" t="s">
        <v>36</v>
      </c>
      <c r="J11" s="7" t="str">
        <f t="shared" si="0"/>
        <v>KgrBMWTou10.PQTC.26.02.26</v>
      </c>
      <c r="L11" t="str">
        <f t="shared" si="1"/>
        <v>10 KgrBMWTou10.PQTC.26.02.26 BMW М5 Touring</v>
      </c>
    </row>
    <row r="12" spans="1:12">
      <c r="A12" s="12" t="s">
        <v>39</v>
      </c>
      <c r="C12" t="s">
        <v>40</v>
      </c>
      <c r="D12" s="6" t="s">
        <v>41</v>
      </c>
      <c r="E12" t="s">
        <v>42</v>
      </c>
      <c r="F12" s="7" t="s">
        <v>13</v>
      </c>
      <c r="G12" s="7" t="s">
        <v>43</v>
      </c>
      <c r="H12" t="s">
        <v>44</v>
      </c>
      <c r="J12" s="7" t="str">
        <f t="shared" si="0"/>
        <v>CupBlaLov11.PQTC.28.02.26</v>
      </c>
      <c r="L12" t="str">
        <f t="shared" si="1"/>
        <v>11 CupBlaLov11.PQTC.28.02.26 Сериал Чёрная любовь</v>
      </c>
    </row>
    <row r="13" spans="1:12">
      <c r="A13" s="12" t="s">
        <v>45</v>
      </c>
      <c r="C13" t="s">
        <v>40</v>
      </c>
      <c r="D13" s="6" t="s">
        <v>41</v>
      </c>
      <c r="E13" t="s">
        <v>46</v>
      </c>
      <c r="F13" s="7" t="s">
        <v>13</v>
      </c>
      <c r="G13" s="7" t="s">
        <v>43</v>
      </c>
      <c r="H13" t="s">
        <v>44</v>
      </c>
      <c r="J13" s="7" t="str">
        <f t="shared" si="0"/>
        <v>CupBlaLov12.PQTC.28.02.26</v>
      </c>
      <c r="L13" t="str">
        <f t="shared" si="1"/>
        <v>12 CupBlaLov12.PQTC.28.02.26 Сериал Чёрная любовь</v>
      </c>
    </row>
    <row r="14" spans="1:12">
      <c r="A14" s="12" t="s">
        <v>47</v>
      </c>
      <c r="C14" t="s">
        <v>40</v>
      </c>
      <c r="D14" s="6" t="s">
        <v>41</v>
      </c>
      <c r="E14" t="s">
        <v>48</v>
      </c>
      <c r="F14" s="7" t="s">
        <v>13</v>
      </c>
      <c r="G14" s="7" t="s">
        <v>43</v>
      </c>
      <c r="H14" t="s">
        <v>44</v>
      </c>
      <c r="J14" s="7" t="str">
        <f t="shared" si="0"/>
        <v>CupBlaLov13.PQTC.28.02.26</v>
      </c>
      <c r="L14" t="str">
        <f t="shared" si="1"/>
        <v>13 CupBlaLov13.PQTC.28.02.26 Сериал Чёрная любовь</v>
      </c>
    </row>
    <row r="15" spans="1:12">
      <c r="A15" s="12" t="s">
        <v>49</v>
      </c>
      <c r="C15" t="s">
        <v>40</v>
      </c>
      <c r="D15" s="6" t="s">
        <v>50</v>
      </c>
      <c r="E15" t="s">
        <v>51</v>
      </c>
      <c r="F15" s="7" t="s">
        <v>13</v>
      </c>
      <c r="G15" s="7" t="s">
        <v>43</v>
      </c>
      <c r="H15" t="s">
        <v>52</v>
      </c>
      <c r="J15" s="7" t="str">
        <f t="shared" si="0"/>
        <v>CupHowYou14.PQTC.28.02.26</v>
      </c>
      <c r="L15" t="str">
        <f t="shared" si="1"/>
        <v>14 CupHowYou14.PQTC.28.02.26 Сериал Повсюду Ты</v>
      </c>
    </row>
    <row r="16" spans="1:12">
      <c r="A16" s="12" t="s">
        <v>53</v>
      </c>
      <c r="C16" t="s">
        <v>40</v>
      </c>
      <c r="D16" s="6" t="s">
        <v>50</v>
      </c>
      <c r="E16" t="s">
        <v>54</v>
      </c>
      <c r="F16" s="7" t="s">
        <v>13</v>
      </c>
      <c r="G16" s="7" t="s">
        <v>43</v>
      </c>
      <c r="H16" t="s">
        <v>52</v>
      </c>
      <c r="J16" s="7" t="str">
        <f t="shared" si="0"/>
        <v>CupHowYou15.PQTC.28.02.26</v>
      </c>
      <c r="L16" t="str">
        <f t="shared" si="1"/>
        <v>15 CupHowYou15.PQTC.28.02.26 Сериал Повсюду Ты</v>
      </c>
    </row>
    <row r="17" spans="1:12">
      <c r="A17" s="12" t="s">
        <v>55</v>
      </c>
      <c r="C17" t="s">
        <v>40</v>
      </c>
      <c r="D17" s="6" t="s">
        <v>50</v>
      </c>
      <c r="E17" t="s">
        <v>56</v>
      </c>
      <c r="F17" s="7" t="s">
        <v>13</v>
      </c>
      <c r="G17" s="7" t="s">
        <v>43</v>
      </c>
      <c r="H17" t="s">
        <v>52</v>
      </c>
      <c r="J17" s="7" t="str">
        <f t="shared" si="0"/>
        <v>CupHowYou16.PQTC.28.02.26</v>
      </c>
      <c r="L17" t="str">
        <f t="shared" si="1"/>
        <v>16 CupHowYou16.PQTC.28.02.26 Сериал Повсюду Ты</v>
      </c>
    </row>
    <row r="18" spans="1:12">
      <c r="A18" s="12" t="s">
        <v>57</v>
      </c>
      <c r="C18" t="s">
        <v>10</v>
      </c>
      <c r="D18" s="6" t="s">
        <v>58</v>
      </c>
      <c r="E18" t="s">
        <v>59</v>
      </c>
      <c r="F18" s="7" t="s">
        <v>13</v>
      </c>
      <c r="G18" s="7" t="s">
        <v>43</v>
      </c>
      <c r="H18" t="s">
        <v>60</v>
      </c>
      <c r="J18" s="7" t="str">
        <f t="shared" si="0"/>
        <v>NtrNice17.PQTC.28.02.26</v>
      </c>
      <c r="L18" t="str">
        <f t="shared" si="1"/>
        <v>17 NtrNice17.PQTC.28.02.26 Ницца Negresco Hotel</v>
      </c>
    </row>
    <row r="19" spans="1:12">
      <c r="A19" s="12" t="s">
        <v>61</v>
      </c>
      <c r="C19" t="s">
        <v>10</v>
      </c>
      <c r="D19" s="6" t="s">
        <v>58</v>
      </c>
      <c r="E19" t="s">
        <v>62</v>
      </c>
      <c r="F19" s="7" t="s">
        <v>13</v>
      </c>
      <c r="G19" s="7" t="s">
        <v>43</v>
      </c>
      <c r="H19" t="s">
        <v>63</v>
      </c>
      <c r="J19" s="7" t="str">
        <f t="shared" si="0"/>
        <v>NtrNice18.PQTC.28.02.26</v>
      </c>
      <c r="L19" t="str">
        <f t="shared" si="1"/>
        <v>18 NtrNice18.PQTC.28.02.26 Лазурный берег Ниццы</v>
      </c>
    </row>
    <row r="20" spans="1:12">
      <c r="A20" s="12" t="s">
        <v>64</v>
      </c>
      <c r="C20" t="s">
        <v>10</v>
      </c>
      <c r="D20" s="6" t="s">
        <v>58</v>
      </c>
      <c r="E20" t="s">
        <v>65</v>
      </c>
      <c r="F20" s="7" t="s">
        <v>13</v>
      </c>
      <c r="G20" s="7" t="s">
        <v>43</v>
      </c>
      <c r="H20" t="s">
        <v>66</v>
      </c>
      <c r="J20" s="7" t="str">
        <f t="shared" si="0"/>
        <v>NtrNice19.PQTC.28.02.26</v>
      </c>
      <c r="L20" t="str">
        <f t="shared" si="1"/>
        <v>19 NtrNice19.PQTC.28.02.26 Ницца Нотр-Дам</v>
      </c>
    </row>
    <row r="21" spans="1:12">
      <c r="A21" s="12" t="s">
        <v>67</v>
      </c>
      <c r="C21" t="s">
        <v>10</v>
      </c>
      <c r="D21" s="6" t="s">
        <v>58</v>
      </c>
      <c r="E21" t="s">
        <v>68</v>
      </c>
      <c r="F21" s="7" t="s">
        <v>13</v>
      </c>
      <c r="G21" s="7" t="s">
        <v>43</v>
      </c>
      <c r="H21" t="s">
        <v>69</v>
      </c>
      <c r="J21" s="7" t="str">
        <f t="shared" si="0"/>
        <v>NtrNice20.PQTC.28.02.26</v>
      </c>
      <c r="L21" t="str">
        <f t="shared" si="1"/>
        <v>20 NtrNice20.PQTC.28.02.26 Ницца церковь Нотр-Дам-дю-Порт</v>
      </c>
    </row>
    <row r="22" spans="1:12">
      <c r="A22" s="12" t="s">
        <v>70</v>
      </c>
      <c r="C22" t="s">
        <v>10</v>
      </c>
      <c r="D22" s="6" t="s">
        <v>58</v>
      </c>
      <c r="E22" t="s">
        <v>71</v>
      </c>
      <c r="F22" s="7" t="s">
        <v>13</v>
      </c>
      <c r="G22" s="7" t="s">
        <v>43</v>
      </c>
      <c r="H22" t="s">
        <v>63</v>
      </c>
      <c r="J22" s="7" t="str">
        <f t="shared" si="0"/>
        <v>NtrNice21.PQTC.28.02.26</v>
      </c>
      <c r="L22" t="str">
        <f t="shared" si="1"/>
        <v>21 NtrNice21.PQTC.28.02.26 Лазурный берег Ниццы</v>
      </c>
    </row>
    <row r="23" spans="1:12">
      <c r="A23" s="12" t="s">
        <v>72</v>
      </c>
      <c r="C23" t="s">
        <v>10</v>
      </c>
      <c r="D23" s="6" t="s">
        <v>58</v>
      </c>
      <c r="E23" t="s">
        <v>73</v>
      </c>
      <c r="F23" s="7" t="s">
        <v>13</v>
      </c>
      <c r="G23" s="7" t="s">
        <v>43</v>
      </c>
      <c r="H23" t="s">
        <v>74</v>
      </c>
      <c r="J23" s="7" t="str">
        <f t="shared" si="0"/>
        <v>NtrNice22.PQTC.28.02.26</v>
      </c>
      <c r="L23" t="str">
        <f t="shared" si="1"/>
        <v>22 NtrNice22.PQTC.28.02.26 Ницца Фонтан Апполона</v>
      </c>
    </row>
    <row r="24" spans="1:12">
      <c r="A24" s="5">
        <v>23</v>
      </c>
      <c r="C24" t="s">
        <v>10</v>
      </c>
      <c r="D24" s="6" t="s">
        <v>75</v>
      </c>
      <c r="E24" t="s">
        <v>76</v>
      </c>
      <c r="F24" s="7" t="s">
        <v>13</v>
      </c>
      <c r="G24" s="7" t="s">
        <v>77</v>
      </c>
      <c r="H24" t="s">
        <v>78</v>
      </c>
      <c r="J24" s="7" t="str">
        <f t="shared" si="0"/>
        <v>NtrSAOPAU23.PQTC.01.03.26</v>
      </c>
      <c r="L24" t="str">
        <f t="shared" si="1"/>
        <v>23 NtrSAOPAU23.PQTC.01.03.26 Сан Пауло Кафедральный собор</v>
      </c>
    </row>
    <row r="25" spans="1:12">
      <c r="A25" s="5">
        <v>24</v>
      </c>
      <c r="C25" t="s">
        <v>10</v>
      </c>
      <c r="D25" s="6" t="s">
        <v>75</v>
      </c>
      <c r="E25" t="s">
        <v>79</v>
      </c>
      <c r="F25" s="7" t="s">
        <v>13</v>
      </c>
      <c r="G25" s="7" t="s">
        <v>77</v>
      </c>
      <c r="H25" t="s">
        <v>78</v>
      </c>
      <c r="J25" s="7" t="str">
        <f t="shared" si="0"/>
        <v>NtrSAOPAU24.PQTC.01.03.26</v>
      </c>
      <c r="L25" t="str">
        <f t="shared" si="1"/>
        <v>24 NtrSAOPAU24.PQTC.01.03.26 Сан Пауло Кафедральный собор</v>
      </c>
    </row>
    <row r="26" spans="1:12">
      <c r="A26" s="5">
        <v>25</v>
      </c>
      <c r="C26" t="s">
        <v>10</v>
      </c>
      <c r="D26" s="6" t="s">
        <v>75</v>
      </c>
      <c r="E26" t="s">
        <v>80</v>
      </c>
      <c r="F26" s="7" t="s">
        <v>13</v>
      </c>
      <c r="G26" s="7" t="s">
        <v>77</v>
      </c>
      <c r="H26" t="s">
        <v>81</v>
      </c>
      <c r="J26" s="7" t="str">
        <f t="shared" si="0"/>
        <v>NtrSAOPAU25.PQTC.01.03.26</v>
      </c>
      <c r="L26" t="str">
        <f t="shared" si="1"/>
        <v>25 NtrSAOPAU25.PQTC.01.03.26 Сан Пауло пляж Сантос</v>
      </c>
    </row>
    <row r="27" spans="1:12">
      <c r="A27" s="5">
        <v>26</v>
      </c>
      <c r="C27" t="s">
        <v>10</v>
      </c>
      <c r="D27" s="6" t="s">
        <v>75</v>
      </c>
      <c r="E27" t="s">
        <v>82</v>
      </c>
      <c r="F27" s="7" t="s">
        <v>13</v>
      </c>
      <c r="G27" s="7" t="s">
        <v>77</v>
      </c>
      <c r="H27" t="s">
        <v>83</v>
      </c>
      <c r="J27" s="7" t="str">
        <f t="shared" si="0"/>
        <v>NtrSAOPAU26.PQTC.01.03.26</v>
      </c>
      <c r="L27" t="str">
        <f t="shared" si="1"/>
        <v>26 NtrSAOPAU26.PQTC.01.03.26 Сан Пауло Мост Октавио Фриас де Оливейра</v>
      </c>
    </row>
    <row r="28" spans="1:12">
      <c r="A28" s="5">
        <v>27</v>
      </c>
      <c r="C28" t="s">
        <v>10</v>
      </c>
      <c r="D28" s="6" t="s">
        <v>75</v>
      </c>
      <c r="E28" t="s">
        <v>84</v>
      </c>
      <c r="F28" s="7" t="s">
        <v>13</v>
      </c>
      <c r="G28" s="7" t="s">
        <v>77</v>
      </c>
      <c r="H28" t="s">
        <v>85</v>
      </c>
      <c r="J28" s="7" t="str">
        <f t="shared" si="0"/>
        <v>NtrSAOPAU27.PQTC.01.03.26</v>
      </c>
      <c r="L28" t="str">
        <f t="shared" si="1"/>
        <v>27 NtrSAOPAU27.PQTC.01.03.26 Сан Пауло Музей Паулиста</v>
      </c>
    </row>
    <row r="29" spans="1:12">
      <c r="A29" s="5">
        <v>28</v>
      </c>
      <c r="C29" t="s">
        <v>10</v>
      </c>
      <c r="D29" s="6" t="s">
        <v>86</v>
      </c>
      <c r="E29" t="s">
        <v>87</v>
      </c>
      <c r="F29" s="7" t="s">
        <v>13</v>
      </c>
      <c r="G29" s="7" t="s">
        <v>77</v>
      </c>
      <c r="H29" t="s">
        <v>88</v>
      </c>
      <c r="J29" s="7" t="str">
        <f t="shared" si="0"/>
        <v>NtrABUDHA28.PQTC.01.03.26</v>
      </c>
      <c r="L29" t="str">
        <f t="shared" si="1"/>
        <v>28 NtrABUDHA28.PQTC.01.03.26 Абу-Даби Мечеть шейха Заида</v>
      </c>
    </row>
    <row r="30" spans="1:12">
      <c r="A30" s="5">
        <v>29</v>
      </c>
      <c r="C30" t="s">
        <v>10</v>
      </c>
      <c r="D30" s="6" t="s">
        <v>86</v>
      </c>
      <c r="E30" t="s">
        <v>89</v>
      </c>
      <c r="F30" s="7" t="s">
        <v>13</v>
      </c>
      <c r="G30" s="7" t="s">
        <v>77</v>
      </c>
      <c r="H30" t="s">
        <v>88</v>
      </c>
      <c r="J30" s="7" t="str">
        <f t="shared" si="0"/>
        <v>NtrABUDHA29.PQTC.01.03.26</v>
      </c>
      <c r="L30" t="str">
        <f t="shared" si="1"/>
        <v>29 NtrABUDHA29.PQTC.01.03.26 Абу-Даби Мечеть шейха Заида</v>
      </c>
    </row>
    <row r="31" spans="1:12">
      <c r="A31" s="5">
        <v>30</v>
      </c>
      <c r="C31" t="s">
        <v>10</v>
      </c>
      <c r="D31" s="6" t="s">
        <v>86</v>
      </c>
      <c r="E31" t="s">
        <v>90</v>
      </c>
      <c r="F31" s="7" t="s">
        <v>13</v>
      </c>
      <c r="G31" s="7" t="s">
        <v>77</v>
      </c>
      <c r="H31" t="s">
        <v>91</v>
      </c>
      <c r="J31" s="7" t="str">
        <f t="shared" si="0"/>
        <v>NtrABUDHA30.PQTC.01.03.26</v>
      </c>
      <c r="L31" t="str">
        <f t="shared" si="1"/>
        <v>30 NtrABUDHA30.PQTC.01.03.26 Небоскребы Абу-Даби</v>
      </c>
    </row>
    <row r="32" spans="1:12">
      <c r="A32" s="5">
        <v>31</v>
      </c>
      <c r="C32" t="s">
        <v>10</v>
      </c>
      <c r="D32" s="6" t="s">
        <v>86</v>
      </c>
      <c r="E32" t="s">
        <v>92</v>
      </c>
      <c r="F32" s="7" t="s">
        <v>13</v>
      </c>
      <c r="G32" s="7" t="s">
        <v>77</v>
      </c>
      <c r="H32" t="s">
        <v>91</v>
      </c>
      <c r="J32" s="7" t="str">
        <f t="shared" si="0"/>
        <v>NtrABUDHA31.PQTC.01.03.26</v>
      </c>
      <c r="L32" t="str">
        <f t="shared" si="1"/>
        <v>31 NtrABUDHA31.PQTC.01.03.26 Небоскребы Абу-Даби</v>
      </c>
    </row>
    <row r="33" spans="1:12">
      <c r="A33" s="5">
        <v>32</v>
      </c>
      <c r="C33" t="s">
        <v>10</v>
      </c>
      <c r="D33" s="6" t="s">
        <v>86</v>
      </c>
      <c r="E33" t="s">
        <v>93</v>
      </c>
      <c r="F33" s="7" t="s">
        <v>13</v>
      </c>
      <c r="G33" s="7" t="s">
        <v>77</v>
      </c>
      <c r="H33" t="s">
        <v>91</v>
      </c>
      <c r="J33" s="7" t="str">
        <f t="shared" si="0"/>
        <v>NtrABUDHA32.PQTC.01.03.26</v>
      </c>
      <c r="L33" t="str">
        <f t="shared" si="1"/>
        <v>32 NtrABUDHA32.PQTC.01.03.26 Небоскребы Абу-Даби</v>
      </c>
    </row>
    <row r="34" spans="1:12">
      <c r="A34" s="5">
        <v>33</v>
      </c>
      <c r="C34" t="s">
        <v>10</v>
      </c>
      <c r="D34" s="6" t="s">
        <v>86</v>
      </c>
      <c r="E34" t="s">
        <v>94</v>
      </c>
      <c r="F34" s="7" t="s">
        <v>13</v>
      </c>
      <c r="G34" s="7" t="s">
        <v>77</v>
      </c>
      <c r="H34" t="s">
        <v>91</v>
      </c>
      <c r="J34" s="7" t="str">
        <f t="shared" si="0"/>
        <v>NtrABUDHA33.PQTC.01.03.26</v>
      </c>
      <c r="L34" t="str">
        <f t="shared" si="1"/>
        <v>33 NtrABUDHA33.PQTC.01.03.26 Небоскребы Абу-Даби</v>
      </c>
    </row>
    <row r="35" spans="1:12">
      <c r="A35" s="5">
        <v>34</v>
      </c>
      <c r="C35" t="s">
        <v>10</v>
      </c>
      <c r="D35" s="6" t="s">
        <v>86</v>
      </c>
      <c r="E35" t="s">
        <v>95</v>
      </c>
      <c r="F35" s="7" t="s">
        <v>13</v>
      </c>
      <c r="G35" s="7" t="s">
        <v>77</v>
      </c>
      <c r="H35" t="s">
        <v>96</v>
      </c>
      <c r="J35" s="7" t="str">
        <f t="shared" si="0"/>
        <v>NtrABUDHA34.PQTC.01.03.26</v>
      </c>
      <c r="L35" t="str">
        <f t="shared" si="1"/>
        <v>34 NtrABUDHA34.PQTC.01.03.26 Абу-Даби</v>
      </c>
    </row>
    <row r="36" spans="1:12">
      <c r="A36" s="5">
        <v>35</v>
      </c>
      <c r="C36" t="s">
        <v>10</v>
      </c>
      <c r="D36" s="6" t="s">
        <v>86</v>
      </c>
      <c r="E36" t="s">
        <v>97</v>
      </c>
      <c r="F36" s="7" t="s">
        <v>13</v>
      </c>
      <c r="G36" s="7" t="s">
        <v>77</v>
      </c>
      <c r="H36" t="s">
        <v>98</v>
      </c>
      <c r="J36" s="7" t="str">
        <f t="shared" si="0"/>
        <v>NtrABUDHA35.PQTC.01.03.26</v>
      </c>
      <c r="L36" t="str">
        <f t="shared" si="1"/>
        <v>35 NtrABUDHA35.PQTC.01.03.26 Абу-Даби отель Rixos Marina </v>
      </c>
    </row>
    <row r="37" spans="1:12">
      <c r="A37" s="5">
        <v>36</v>
      </c>
      <c r="C37" t="s">
        <v>10</v>
      </c>
      <c r="D37" s="6" t="s">
        <v>86</v>
      </c>
      <c r="E37" t="s">
        <v>99</v>
      </c>
      <c r="F37" s="7" t="s">
        <v>13</v>
      </c>
      <c r="G37" s="7" t="s">
        <v>77</v>
      </c>
      <c r="H37" t="s">
        <v>88</v>
      </c>
      <c r="J37" s="7" t="str">
        <f t="shared" si="0"/>
        <v>NtrABUDHA36.PQTC.01.03.26</v>
      </c>
      <c r="L37" t="str">
        <f t="shared" si="1"/>
        <v>36 NtrABUDHA36.PQTC.01.03.26 Абу-Даби Мечеть шейха Заида</v>
      </c>
    </row>
    <row r="38" spans="1:12">
      <c r="A38" s="5">
        <v>37</v>
      </c>
      <c r="C38" t="s">
        <v>10</v>
      </c>
      <c r="D38" s="6" t="s">
        <v>86</v>
      </c>
      <c r="E38" t="s">
        <v>100</v>
      </c>
      <c r="F38" s="7" t="s">
        <v>13</v>
      </c>
      <c r="G38" s="7" t="s">
        <v>77</v>
      </c>
      <c r="H38" s="14" t="s">
        <v>101</v>
      </c>
      <c r="J38" s="7" t="str">
        <f t="shared" si="0"/>
        <v>NtrABUDHA37.PQTC.01.03.26</v>
      </c>
      <c r="L38" t="str">
        <f t="shared" si="1"/>
        <v>37 NtrABUDHA37.PQTC.01.03.26 Абу-Даби Лувр </v>
      </c>
    </row>
    <row r="39" spans="1:12">
      <c r="A39" s="5">
        <v>38</v>
      </c>
      <c r="C39" t="s">
        <v>10</v>
      </c>
      <c r="D39" s="15" t="s">
        <v>102</v>
      </c>
      <c r="E39" t="s">
        <v>103</v>
      </c>
      <c r="F39" s="7" t="s">
        <v>13</v>
      </c>
      <c r="G39" s="7" t="s">
        <v>104</v>
      </c>
      <c r="H39" t="s">
        <v>105</v>
      </c>
      <c r="J39" s="7" t="str">
        <f t="shared" si="0"/>
        <v>NtrPhuket38.PQTC.02.03.26</v>
      </c>
      <c r="L39" t="str">
        <f t="shared" si="1"/>
        <v>38 NtrPhuket38.PQTC.02.03.26 Ночной Пхукет</v>
      </c>
    </row>
    <row r="40" spans="1:12">
      <c r="A40" s="5">
        <v>39</v>
      </c>
      <c r="C40" t="s">
        <v>10</v>
      </c>
      <c r="D40" s="15" t="s">
        <v>102</v>
      </c>
      <c r="E40" t="s">
        <v>106</v>
      </c>
      <c r="F40" s="7" t="s">
        <v>13</v>
      </c>
      <c r="G40" s="7" t="s">
        <v>104</v>
      </c>
      <c r="H40" t="s">
        <v>107</v>
      </c>
      <c r="J40" s="7" t="str">
        <f t="shared" si="0"/>
        <v>NtrPhuket39.PQTC.02.03.26</v>
      </c>
      <c r="L40" t="str">
        <f t="shared" si="1"/>
        <v>39 NtrPhuket39.PQTC.02.03.26 Пхукет</v>
      </c>
    </row>
    <row r="41" spans="1:12">
      <c r="A41" s="5">
        <v>40</v>
      </c>
      <c r="C41" t="s">
        <v>10</v>
      </c>
      <c r="D41" s="15" t="s">
        <v>102</v>
      </c>
      <c r="E41" t="s">
        <v>108</v>
      </c>
      <c r="F41" s="7" t="s">
        <v>13</v>
      </c>
      <c r="G41" s="7" t="s">
        <v>104</v>
      </c>
      <c r="H41" t="s">
        <v>109</v>
      </c>
      <c r="J41" s="7" t="str">
        <f t="shared" si="0"/>
        <v>NtrPhuket40.PQTC.02.03.26</v>
      </c>
      <c r="L41" t="str">
        <f t="shared" si="1"/>
        <v>40 NtrPhuket40.PQTC.02.03.26 Пхукет пляж Фридом</v>
      </c>
    </row>
    <row r="42" spans="1:12">
      <c r="A42" s="5">
        <v>41</v>
      </c>
      <c r="C42" t="s">
        <v>10</v>
      </c>
      <c r="D42" s="15" t="s">
        <v>102</v>
      </c>
      <c r="E42" t="s">
        <v>110</v>
      </c>
      <c r="F42" s="7" t="s">
        <v>13</v>
      </c>
      <c r="G42" s="7" t="s">
        <v>104</v>
      </c>
      <c r="H42" t="s">
        <v>111</v>
      </c>
      <c r="J42" s="7" t="str">
        <f t="shared" si="0"/>
        <v>NtrPhuket41.PQTC.02.03.26</v>
      </c>
      <c r="L42" t="str">
        <f t="shared" si="1"/>
        <v>41 NtrPhuket41.PQTC.02.03.26 Пхукет пляж Рейли</v>
      </c>
    </row>
    <row r="43" spans="1:12">
      <c r="A43" s="5">
        <v>42</v>
      </c>
      <c r="C43" t="s">
        <v>10</v>
      </c>
      <c r="D43" s="15" t="s">
        <v>102</v>
      </c>
      <c r="E43" t="s">
        <v>112</v>
      </c>
      <c r="F43" s="7" t="s">
        <v>13</v>
      </c>
      <c r="G43" s="7" t="s">
        <v>104</v>
      </c>
      <c r="H43" t="s">
        <v>113</v>
      </c>
      <c r="J43" s="7" t="str">
        <f t="shared" si="0"/>
        <v>NtrPhuket42.PQTC.02.03.26</v>
      </c>
      <c r="L43" t="str">
        <f t="shared" si="1"/>
        <v>42 NtrPhuket42.PQTC.02.03.26 Пхукет пляж Най Тон</v>
      </c>
    </row>
    <row r="44" spans="1:12">
      <c r="A44" s="5">
        <v>43</v>
      </c>
      <c r="C44" t="s">
        <v>10</v>
      </c>
      <c r="D44" s="15" t="s">
        <v>102</v>
      </c>
      <c r="E44" t="s">
        <v>114</v>
      </c>
      <c r="F44" s="7" t="s">
        <v>13</v>
      </c>
      <c r="G44" s="7" t="s">
        <v>104</v>
      </c>
      <c r="H44" t="s">
        <v>115</v>
      </c>
      <c r="J44" s="7" t="str">
        <f t="shared" si="0"/>
        <v>NtrPhuket43.PQTC.02.03.26</v>
      </c>
      <c r="L44" t="str">
        <f t="shared" si="1"/>
        <v>43 NtrPhuket43.PQTC.02.03.26 Пхукет остров Джеймса Бонда</v>
      </c>
    </row>
    <row r="45" spans="1:12">
      <c r="A45" s="5">
        <v>44</v>
      </c>
      <c r="C45" t="s">
        <v>10</v>
      </c>
      <c r="D45" s="15" t="s">
        <v>102</v>
      </c>
      <c r="E45" t="s">
        <v>116</v>
      </c>
      <c r="F45" s="7" t="s">
        <v>13</v>
      </c>
      <c r="G45" s="7" t="s">
        <v>104</v>
      </c>
      <c r="H45" t="s">
        <v>117</v>
      </c>
      <c r="J45" s="7" t="str">
        <f t="shared" si="0"/>
        <v>NtrPhuket44.PQTC.02.03.26</v>
      </c>
      <c r="L45" t="str">
        <f t="shared" si="1"/>
        <v>44 NtrPhuket44.PQTC.02.03.26 Пхукет острова Пхи Пхи</v>
      </c>
    </row>
    <row r="46" spans="1:12">
      <c r="A46" s="5">
        <v>45</v>
      </c>
      <c r="C46" t="s">
        <v>10</v>
      </c>
      <c r="D46" s="15" t="s">
        <v>102</v>
      </c>
      <c r="E46" t="s">
        <v>118</v>
      </c>
      <c r="F46" s="7" t="s">
        <v>13</v>
      </c>
      <c r="G46" s="7" t="s">
        <v>104</v>
      </c>
      <c r="H46" t="s">
        <v>119</v>
      </c>
      <c r="J46" s="7" t="str">
        <f t="shared" si="0"/>
        <v>NtrPhuket45.PQTC.02.03.26</v>
      </c>
      <c r="L46" t="str">
        <f t="shared" si="1"/>
        <v>45 NtrPhuket45.PQTC.02.03.26 Пхукет пейзаж</v>
      </c>
    </row>
    <row r="47" spans="1:12">
      <c r="A47" s="5">
        <v>46</v>
      </c>
      <c r="C47" t="s">
        <v>10</v>
      </c>
      <c r="D47" s="15" t="s">
        <v>102</v>
      </c>
      <c r="E47" t="s">
        <v>120</v>
      </c>
      <c r="F47" s="7" t="s">
        <v>13</v>
      </c>
      <c r="G47" s="7" t="s">
        <v>104</v>
      </c>
      <c r="H47" t="s">
        <v>121</v>
      </c>
      <c r="J47" s="7" t="str">
        <f t="shared" si="0"/>
        <v>NtrPhuket46.PQTC.02.03.26</v>
      </c>
      <c r="L47" t="str">
        <f t="shared" si="1"/>
        <v>46 NtrPhuket46.PQTC.02.03.26 Пхукет архипелаг Пипи</v>
      </c>
    </row>
    <row r="48" spans="1:12">
      <c r="A48" s="5">
        <v>47</v>
      </c>
      <c r="C48" t="s">
        <v>10</v>
      </c>
      <c r="D48" s="15" t="s">
        <v>102</v>
      </c>
      <c r="E48" t="s">
        <v>122</v>
      </c>
      <c r="F48" s="7" t="s">
        <v>13</v>
      </c>
      <c r="G48" s="7" t="s">
        <v>104</v>
      </c>
      <c r="H48" t="s">
        <v>123</v>
      </c>
      <c r="J48" s="7" t="str">
        <f t="shared" si="0"/>
        <v>NtrPhuket47.PQTC.02.03.26</v>
      </c>
      <c r="L48" t="str">
        <f t="shared" si="1"/>
        <v>47 NtrPhuket47.PQTC.02.03.26 Пхукет храм Карона</v>
      </c>
    </row>
    <row r="49" spans="1:12">
      <c r="A49" s="5">
        <v>48</v>
      </c>
      <c r="C49" t="s">
        <v>10</v>
      </c>
      <c r="D49" s="15" t="s">
        <v>102</v>
      </c>
      <c r="E49" t="s">
        <v>124</v>
      </c>
      <c r="F49" s="7" t="s">
        <v>13</v>
      </c>
      <c r="G49" s="7" t="s">
        <v>104</v>
      </c>
      <c r="H49" t="s">
        <v>115</v>
      </c>
      <c r="J49" s="7" t="str">
        <f t="shared" si="0"/>
        <v>NtrPhuket48.PQTC.02.03.26</v>
      </c>
      <c r="L49" t="str">
        <f t="shared" si="1"/>
        <v>48 NtrPhuket48.PQTC.02.03.26 Пхукет остров Джеймса Бонда</v>
      </c>
    </row>
    <row r="50" spans="1:12">
      <c r="A50" s="5">
        <v>49</v>
      </c>
      <c r="C50" t="s">
        <v>10</v>
      </c>
      <c r="D50" s="15" t="s">
        <v>102</v>
      </c>
      <c r="E50" t="s">
        <v>125</v>
      </c>
      <c r="F50" s="7" t="s">
        <v>13</v>
      </c>
      <c r="G50" s="7" t="s">
        <v>104</v>
      </c>
      <c r="H50" t="s">
        <v>126</v>
      </c>
      <c r="J50" s="7" t="str">
        <f t="shared" si="0"/>
        <v>NtrPhuket49.PQTC.02.03.26</v>
      </c>
      <c r="L50" t="str">
        <f t="shared" si="1"/>
        <v>49 NtrPhuket49.PQTC.02.03.26 Пхукет Пхи Пхи</v>
      </c>
    </row>
    <row r="51" spans="1:12">
      <c r="A51" s="5">
        <v>50</v>
      </c>
      <c r="C51" t="s">
        <v>10</v>
      </c>
      <c r="D51" s="15" t="s">
        <v>102</v>
      </c>
      <c r="E51" t="s">
        <v>127</v>
      </c>
      <c r="F51" s="7" t="s">
        <v>13</v>
      </c>
      <c r="G51" s="7" t="s">
        <v>104</v>
      </c>
      <c r="H51" t="s">
        <v>126</v>
      </c>
      <c r="J51" s="7" t="str">
        <f t="shared" si="0"/>
        <v>NtrPhuket50.PQTC.02.03.26</v>
      </c>
      <c r="L51" t="str">
        <f t="shared" si="1"/>
        <v>50 NtrPhuket50.PQTC.02.03.26 Пхукет Пхи Пхи</v>
      </c>
    </row>
    <row r="52" spans="1:12">
      <c r="A52" s="5">
        <v>51</v>
      </c>
      <c r="C52" t="s">
        <v>10</v>
      </c>
      <c r="D52" s="15" t="s">
        <v>102</v>
      </c>
      <c r="E52" t="s">
        <v>128</v>
      </c>
      <c r="F52" s="7" t="s">
        <v>13</v>
      </c>
      <c r="G52" s="7" t="s">
        <v>129</v>
      </c>
      <c r="H52" t="s">
        <v>130</v>
      </c>
      <c r="J52" s="7" t="str">
        <f t="shared" si="0"/>
        <v>NtrPhuket51.PQTC.03.03.26</v>
      </c>
      <c r="L52" t="str">
        <f t="shared" si="1"/>
        <v>51 NtrPhuket51.PQTC.03.03.26 Пхукет Большой Будда</v>
      </c>
    </row>
    <row r="53" spans="1:12">
      <c r="A53" s="5">
        <v>52</v>
      </c>
      <c r="C53" t="s">
        <v>10</v>
      </c>
      <c r="D53" s="15" t="s">
        <v>102</v>
      </c>
      <c r="E53" t="s">
        <v>131</v>
      </c>
      <c r="F53" s="7" t="s">
        <v>13</v>
      </c>
      <c r="G53" s="7" t="s">
        <v>129</v>
      </c>
      <c r="H53" t="s">
        <v>130</v>
      </c>
      <c r="J53" s="7" t="str">
        <f t="shared" si="0"/>
        <v>NtrPhuket52.PQTC.03.03.26</v>
      </c>
      <c r="L53" t="str">
        <f t="shared" si="1"/>
        <v>52 NtrPhuket52.PQTC.03.03.26 Пхукет Большой Будда</v>
      </c>
    </row>
    <row r="54" spans="1:12">
      <c r="A54" s="5">
        <v>53</v>
      </c>
      <c r="C54" t="s">
        <v>10</v>
      </c>
      <c r="D54" s="15" t="s">
        <v>102</v>
      </c>
      <c r="E54" t="s">
        <v>132</v>
      </c>
      <c r="F54" s="7" t="s">
        <v>13</v>
      </c>
      <c r="G54" s="7" t="s">
        <v>129</v>
      </c>
      <c r="H54" t="s">
        <v>133</v>
      </c>
      <c r="J54" s="7" t="str">
        <f t="shared" si="0"/>
        <v>NtrPhuket53.PQTC.03.03.26</v>
      </c>
      <c r="L54" t="str">
        <f t="shared" si="1"/>
        <v>53 NtrPhuket53.PQTC.03.03.26 Пхукет Будда Шакьямуни</v>
      </c>
    </row>
    <row r="55" spans="1:12">
      <c r="A55" s="5">
        <v>54</v>
      </c>
      <c r="C55" t="s">
        <v>10</v>
      </c>
      <c r="D55" s="15" t="s">
        <v>102</v>
      </c>
      <c r="E55" t="s">
        <v>134</v>
      </c>
      <c r="F55" s="7" t="s">
        <v>13</v>
      </c>
      <c r="G55" s="7" t="s">
        <v>129</v>
      </c>
      <c r="H55" t="s">
        <v>135</v>
      </c>
      <c r="J55" s="7" t="str">
        <f t="shared" si="0"/>
        <v>NtrPhuket54.PQTC.03.03.26</v>
      </c>
      <c r="L55" t="str">
        <f t="shared" si="1"/>
        <v>54 NtrPhuket54.PQTC.03.03.26 Пхукет Гуань Инь</v>
      </c>
    </row>
    <row r="56" spans="1:12">
      <c r="A56" s="5">
        <v>55</v>
      </c>
      <c r="C56" t="s">
        <v>10</v>
      </c>
      <c r="D56" s="15" t="s">
        <v>102</v>
      </c>
      <c r="E56" t="s">
        <v>136</v>
      </c>
      <c r="F56" s="7" t="s">
        <v>13</v>
      </c>
      <c r="G56" s="7" t="s">
        <v>129</v>
      </c>
      <c r="H56" t="s">
        <v>137</v>
      </c>
      <c r="J56" s="7" t="str">
        <f t="shared" si="0"/>
        <v>NtrPhuket55.PQTC.03.03.26</v>
      </c>
      <c r="L56" t="str">
        <f t="shared" si="1"/>
        <v>55 NtrPhuket55.PQTC.03.03.26 Пхукет храм Ват Чалонг</v>
      </c>
    </row>
    <row r="57" spans="1:12">
      <c r="A57" s="5">
        <v>56</v>
      </c>
      <c r="C57" t="s">
        <v>10</v>
      </c>
      <c r="D57" s="15" t="s">
        <v>102</v>
      </c>
      <c r="E57" t="s">
        <v>138</v>
      </c>
      <c r="F57" s="7" t="s">
        <v>13</v>
      </c>
      <c r="G57" s="7" t="s">
        <v>129</v>
      </c>
      <c r="H57" t="s">
        <v>137</v>
      </c>
      <c r="J57" s="7" t="str">
        <f t="shared" si="0"/>
        <v>NtrPhuket56.PQTC.03.03.26</v>
      </c>
      <c r="L57" t="str">
        <f t="shared" si="1"/>
        <v>56 NtrPhuket56.PQTC.03.03.26 Пхукет храм Ват Чалонг</v>
      </c>
    </row>
    <row r="58" spans="1:12">
      <c r="A58" s="5">
        <v>57</v>
      </c>
      <c r="C58" t="s">
        <v>10</v>
      </c>
      <c r="D58" s="15" t="s">
        <v>102</v>
      </c>
      <c r="E58" t="s">
        <v>139</v>
      </c>
      <c r="F58" s="7" t="s">
        <v>13</v>
      </c>
      <c r="G58" s="7" t="s">
        <v>129</v>
      </c>
      <c r="H58" t="s">
        <v>140</v>
      </c>
      <c r="J58" s="7" t="str">
        <f t="shared" si="0"/>
        <v>NtrPhuket57.PQTC.03.03.26</v>
      </c>
      <c r="L58" t="str">
        <f t="shared" si="1"/>
        <v>57 NtrPhuket57.PQTC.03.03.26 Пхукет парк FantaSea</v>
      </c>
    </row>
    <row r="59" spans="1:12">
      <c r="A59" s="5">
        <v>58</v>
      </c>
      <c r="C59" t="s">
        <v>10</v>
      </c>
      <c r="D59" s="15" t="s">
        <v>102</v>
      </c>
      <c r="E59" t="s">
        <v>141</v>
      </c>
      <c r="F59" s="7" t="s">
        <v>13</v>
      </c>
      <c r="G59" s="7" t="s">
        <v>129</v>
      </c>
      <c r="H59" t="s">
        <v>140</v>
      </c>
      <c r="J59" s="7" t="str">
        <f t="shared" si="0"/>
        <v>NtrPhuket58.PQTC.03.03.26</v>
      </c>
      <c r="L59" t="str">
        <f t="shared" si="1"/>
        <v>58 NtrPhuket58.PQTC.03.03.26 Пхукет парк FantaSea</v>
      </c>
    </row>
    <row r="60" spans="1:12">
      <c r="A60" s="5">
        <v>59</v>
      </c>
      <c r="C60" t="s">
        <v>10</v>
      </c>
      <c r="D60" s="15" t="s">
        <v>102</v>
      </c>
      <c r="E60" t="s">
        <v>142</v>
      </c>
      <c r="F60" s="7" t="s">
        <v>13</v>
      </c>
      <c r="G60" s="7" t="s">
        <v>129</v>
      </c>
      <c r="H60" t="s">
        <v>143</v>
      </c>
      <c r="J60" s="7" t="str">
        <f t="shared" si="0"/>
        <v>NtrPhuket59.PQTC.03.03.26</v>
      </c>
      <c r="L60" t="str">
        <f t="shared" si="1"/>
        <v>59 NtrPhuket59.PQTC.03.03.26 Пхукет закат</v>
      </c>
    </row>
    <row r="61" spans="1:12">
      <c r="A61" s="5">
        <v>60</v>
      </c>
      <c r="C61" t="s">
        <v>10</v>
      </c>
      <c r="D61" s="15" t="s">
        <v>102</v>
      </c>
      <c r="E61" t="s">
        <v>144</v>
      </c>
      <c r="F61" s="7" t="s">
        <v>13</v>
      </c>
      <c r="G61" s="7" t="s">
        <v>129</v>
      </c>
      <c r="H61" t="s">
        <v>143</v>
      </c>
      <c r="J61" s="7" t="str">
        <f t="shared" si="0"/>
        <v>NtrPhuket60.PQTC.03.03.26</v>
      </c>
      <c r="L61" t="str">
        <f t="shared" si="1"/>
        <v>60 NtrPhuket60.PQTC.03.03.26 Пхукет закат</v>
      </c>
    </row>
    <row r="62" spans="1:12">
      <c r="A62" s="5">
        <v>61</v>
      </c>
      <c r="C62" t="s">
        <v>10</v>
      </c>
      <c r="D62" s="15" t="s">
        <v>102</v>
      </c>
      <c r="E62" t="s">
        <v>145</v>
      </c>
      <c r="F62" s="7" t="s">
        <v>13</v>
      </c>
      <c r="G62" s="7" t="s">
        <v>129</v>
      </c>
      <c r="H62" t="s">
        <v>146</v>
      </c>
      <c r="J62" s="7" t="str">
        <f t="shared" si="0"/>
        <v>NtrPhuket61.PQTC.03.03.26</v>
      </c>
      <c r="L62" t="str">
        <f t="shared" si="1"/>
        <v>61 NtrPhuket61.PQTC.03.03.26 Пхуке  ночной пляж</v>
      </c>
    </row>
    <row r="63" spans="1:12">
      <c r="A63" s="5">
        <v>62</v>
      </c>
      <c r="C63" t="s">
        <v>10</v>
      </c>
      <c r="D63" s="15" t="s">
        <v>102</v>
      </c>
      <c r="E63" t="s">
        <v>147</v>
      </c>
      <c r="F63" s="7" t="s">
        <v>13</v>
      </c>
      <c r="G63" s="7" t="s">
        <v>129</v>
      </c>
      <c r="H63" t="s">
        <v>126</v>
      </c>
      <c r="J63" s="7" t="str">
        <f t="shared" si="0"/>
        <v>NtrPhuket62.PQTC.03.03.26</v>
      </c>
      <c r="L63" t="str">
        <f t="shared" si="1"/>
        <v>62 NtrPhuket62.PQTC.03.03.26 Пхукет Пхи Пхи</v>
      </c>
    </row>
    <row r="64" spans="1:12">
      <c r="A64" s="5">
        <v>63</v>
      </c>
      <c r="C64" t="s">
        <v>10</v>
      </c>
      <c r="D64" s="15" t="s">
        <v>102</v>
      </c>
      <c r="E64" t="s">
        <v>148</v>
      </c>
      <c r="F64" s="7" t="s">
        <v>13</v>
      </c>
      <c r="G64" s="7" t="s">
        <v>129</v>
      </c>
      <c r="H64" t="s">
        <v>149</v>
      </c>
      <c r="J64" s="7" t="str">
        <f t="shared" si="0"/>
        <v>NtrPhuket63.PQTC.03.03.26</v>
      </c>
      <c r="L64" t="str">
        <f t="shared" si="1"/>
        <v>63 NtrPhuket63.PQTC.03.03.26 Пхукет остров Рача-Яй</v>
      </c>
    </row>
    <row r="65" spans="1:12">
      <c r="A65" s="5">
        <v>64</v>
      </c>
      <c r="C65" t="s">
        <v>10</v>
      </c>
      <c r="D65" s="15" t="s">
        <v>102</v>
      </c>
      <c r="E65" t="s">
        <v>150</v>
      </c>
      <c r="F65" s="7" t="s">
        <v>13</v>
      </c>
      <c r="G65" s="7" t="s">
        <v>129</v>
      </c>
      <c r="H65" t="s">
        <v>119</v>
      </c>
      <c r="J65" s="7" t="str">
        <f t="shared" si="0"/>
        <v>NtrPhuket64.PQTC.03.03.26</v>
      </c>
      <c r="L65" t="str">
        <f t="shared" si="1"/>
        <v>64 NtrPhuket64.PQTC.03.03.26 Пхукет пейзаж</v>
      </c>
    </row>
    <row r="66" spans="1:12">
      <c r="A66" s="5">
        <v>65</v>
      </c>
      <c r="C66" t="s">
        <v>10</v>
      </c>
      <c r="D66" s="15" t="s">
        <v>102</v>
      </c>
      <c r="E66" t="s">
        <v>151</v>
      </c>
      <c r="F66" s="7" t="s">
        <v>13</v>
      </c>
      <c r="G66" s="7" t="s">
        <v>129</v>
      </c>
      <c r="H66" t="s">
        <v>119</v>
      </c>
      <c r="J66" s="7" t="str">
        <f>C66&amp;D66&amp;E66&amp;F66&amp;G66</f>
        <v>NtrPhuket65.PQTC.03.03.26</v>
      </c>
      <c r="L66" t="str">
        <f>A66&amp;" "&amp;C66&amp;D66&amp;E66&amp;F66&amp;G66&amp;" "&amp;H66</f>
        <v>65 NtrPhuket65.PQTC.03.03.26 Пхукет пейзаж</v>
      </c>
    </row>
    <row r="67" spans="1:12">
      <c r="A67" s="5">
        <v>66</v>
      </c>
      <c r="C67" t="s">
        <v>10</v>
      </c>
      <c r="D67" s="6" t="s">
        <v>152</v>
      </c>
      <c r="E67" t="s">
        <v>153</v>
      </c>
      <c r="F67" s="7" t="s">
        <v>13</v>
      </c>
      <c r="G67" s="7" t="s">
        <v>154</v>
      </c>
      <c r="H67" t="s">
        <v>155</v>
      </c>
      <c r="J67" s="7" t="str">
        <f>C67&amp;D67&amp;E67&amp;F67&amp;G67</f>
        <v>NtrRiodeJ66.PQTC.04.03.26</v>
      </c>
      <c r="L67" t="str">
        <f>A67&amp;" "&amp;C67&amp;D67&amp;E67&amp;F67&amp;G67&amp;" "&amp;H67</f>
        <v>66 NtrRiodeJ66.PQTC.04.03.26 Рио-де-Жанейро Пан-ди-Асукар</v>
      </c>
    </row>
    <row r="68" spans="1:12">
      <c r="A68" s="5">
        <v>67</v>
      </c>
      <c r="C68" t="s">
        <v>10</v>
      </c>
      <c r="D68" s="6" t="s">
        <v>152</v>
      </c>
      <c r="E68" t="s">
        <v>156</v>
      </c>
      <c r="F68" s="7" t="s">
        <v>13</v>
      </c>
      <c r="G68" s="7" t="s">
        <v>154</v>
      </c>
      <c r="H68" t="s">
        <v>157</v>
      </c>
      <c r="J68" s="7" t="str">
        <f>C68&amp;D68&amp;E68&amp;F68&amp;G68</f>
        <v>NtrRiodeJ67.PQTC.04.03.26</v>
      </c>
      <c r="L68" t="str">
        <f>A68&amp;" "&amp;C68&amp;D68&amp;E68&amp;F68&amp;G68&amp;" "&amp;H68</f>
        <v>67 NtrRiodeJ67.PQTC.04.03.26 Рио-де-Жанейро статуя Христа Искупителя</v>
      </c>
    </row>
    <row r="69" spans="1:12">
      <c r="A69" s="5">
        <v>68</v>
      </c>
      <c r="C69" t="s">
        <v>10</v>
      </c>
      <c r="D69" s="6" t="s">
        <v>152</v>
      </c>
      <c r="E69" t="s">
        <v>158</v>
      </c>
      <c r="F69" s="7" t="s">
        <v>13</v>
      </c>
      <c r="G69" s="7" t="s">
        <v>154</v>
      </c>
      <c r="H69" t="s">
        <v>157</v>
      </c>
      <c r="J69" s="7" t="str">
        <f>C69&amp;D69&amp;E69&amp;F69&amp;G69</f>
        <v>NtrRiodeJ68.PQTC.04.03.26</v>
      </c>
      <c r="L69" t="str">
        <f>A69&amp;" "&amp;C69&amp;D69&amp;E69&amp;F69&amp;G69&amp;" "&amp;H69</f>
        <v>68 NtrRiodeJ68.PQTC.04.03.26 Рио-де-Жанейро статуя Христа Искупителя</v>
      </c>
    </row>
    <row r="70" spans="1:12">
      <c r="A70" s="5">
        <v>69</v>
      </c>
      <c r="C70" t="s">
        <v>10</v>
      </c>
      <c r="D70" s="6" t="s">
        <v>152</v>
      </c>
      <c r="E70" t="s">
        <v>159</v>
      </c>
      <c r="F70" s="7" t="s">
        <v>13</v>
      </c>
      <c r="G70" s="7" t="s">
        <v>154</v>
      </c>
      <c r="H70" t="s">
        <v>157</v>
      </c>
      <c r="J70" s="7" t="str">
        <f>C70&amp;D70&amp;E70&amp;F70&amp;G70</f>
        <v>NtrRiodeJ69.PQTC.04.03.26</v>
      </c>
      <c r="L70" t="str">
        <f>A70&amp;" "&amp;C70&amp;D70&amp;E70&amp;F70&amp;G70&amp;" "&amp;H70</f>
        <v>69 NtrRiodeJ69.PQTC.04.03.26 Рио-де-Жанейро статуя Христа Искупителя</v>
      </c>
    </row>
    <row r="71" spans="1:12">
      <c r="A71" s="5">
        <v>70</v>
      </c>
      <c r="C71" t="s">
        <v>10</v>
      </c>
      <c r="D71" s="6" t="s">
        <v>152</v>
      </c>
      <c r="E71" t="s">
        <v>160</v>
      </c>
      <c r="F71" s="7" t="s">
        <v>13</v>
      </c>
      <c r="G71" s="7" t="s">
        <v>154</v>
      </c>
      <c r="H71" t="s">
        <v>161</v>
      </c>
      <c r="J71" s="7" t="str">
        <f>C71&amp;D71&amp;E71&amp;F71&amp;G71</f>
        <v>NtrRiodeJ70.PQTC.04.03.26</v>
      </c>
      <c r="L71" t="str">
        <f>A71&amp;" "&amp;C71&amp;D71&amp;E71&amp;F71&amp;G71&amp;" "&amp;H71</f>
        <v>70 NtrRiodeJ70.PQTC.04.03.26 Рио-де-Жанейро закат статуя Христа Искупителя</v>
      </c>
    </row>
    <row r="72" spans="1:12">
      <c r="A72" s="5">
        <v>71</v>
      </c>
      <c r="C72" t="s">
        <v>10</v>
      </c>
      <c r="D72" s="6" t="s">
        <v>152</v>
      </c>
      <c r="E72" t="s">
        <v>162</v>
      </c>
      <c r="F72" s="7" t="s">
        <v>13</v>
      </c>
      <c r="G72" s="7" t="s">
        <v>154</v>
      </c>
      <c r="H72" t="s">
        <v>163</v>
      </c>
      <c r="J72" s="7" t="str">
        <f>C72&amp;D72&amp;E72&amp;F72&amp;G72</f>
        <v>NtrRiodeJ71.PQTC.04.03.26</v>
      </c>
      <c r="L72" t="str">
        <f>A72&amp;" "&amp;C72&amp;D72&amp;E72&amp;F72&amp;G72&amp;" "&amp;H72</f>
        <v>71 NtrRiodeJ71.PQTC.04.03.26 Рио-де-Жанейро</v>
      </c>
    </row>
    <row r="73" spans="1:12">
      <c r="A73" s="5">
        <v>72</v>
      </c>
      <c r="C73" t="s">
        <v>10</v>
      </c>
      <c r="D73" s="6" t="s">
        <v>152</v>
      </c>
      <c r="E73" t="s">
        <v>164</v>
      </c>
      <c r="F73" s="7" t="s">
        <v>13</v>
      </c>
      <c r="G73" s="7" t="s">
        <v>154</v>
      </c>
      <c r="H73" t="s">
        <v>163</v>
      </c>
      <c r="J73" s="7" t="str">
        <f>C73&amp;D73&amp;E73&amp;F73&amp;G73</f>
        <v>NtrRiodeJ72.PQTC.04.03.26</v>
      </c>
      <c r="L73" t="str">
        <f>A73&amp;" "&amp;C73&amp;D73&amp;E73&amp;F73&amp;G73&amp;" "&amp;H73</f>
        <v>72 NtrRiodeJ72.PQTC.04.03.26 Рио-де-Жанейро</v>
      </c>
    </row>
    <row r="74" spans="1:12">
      <c r="A74" s="5">
        <v>73</v>
      </c>
      <c r="C74" t="s">
        <v>10</v>
      </c>
      <c r="D74" s="6" t="s">
        <v>152</v>
      </c>
      <c r="E74" t="s">
        <v>165</v>
      </c>
      <c r="F74" s="7" t="s">
        <v>13</v>
      </c>
      <c r="G74" s="7" t="s">
        <v>154</v>
      </c>
      <c r="H74" t="s">
        <v>166</v>
      </c>
      <c r="J74" s="7" t="str">
        <f>C74&amp;D74&amp;E74&amp;F74&amp;G74</f>
        <v>NtrRiodeJ73.PQTC.04.03.26</v>
      </c>
      <c r="L74" t="str">
        <f>A74&amp;" "&amp;C74&amp;D74&amp;E74&amp;F74&amp;G74&amp;" "&amp;H74</f>
        <v>73 NtrRiodeJ73.PQTC.04.03.26 Рио-де-Жанейро пляж Копакабана</v>
      </c>
    </row>
    <row r="75" spans="1:12">
      <c r="A75" s="5">
        <v>74</v>
      </c>
      <c r="C75" t="s">
        <v>10</v>
      </c>
      <c r="D75" s="6" t="s">
        <v>152</v>
      </c>
      <c r="E75" t="s">
        <v>167</v>
      </c>
      <c r="F75" s="7" t="s">
        <v>13</v>
      </c>
      <c r="G75" s="7" t="s">
        <v>154</v>
      </c>
      <c r="H75" t="s">
        <v>168</v>
      </c>
      <c r="J75" s="7" t="str">
        <f>C75&amp;D75&amp;E75&amp;F75&amp;G75</f>
        <v>NtrRiodeJ74.PQTC.04.03.26</v>
      </c>
      <c r="L75" t="str">
        <f>A75&amp;" "&amp;C75&amp;D75&amp;E75&amp;F75&amp;G75&amp;" "&amp;H75</f>
        <v>74 NtrRiodeJ74.PQTC.04.03.26 Вечерний Рио-де-Жанейро </v>
      </c>
    </row>
    <row r="76" spans="1:12">
      <c r="A76" s="5">
        <v>75</v>
      </c>
      <c r="C76" t="s">
        <v>10</v>
      </c>
      <c r="D76" s="6" t="s">
        <v>152</v>
      </c>
      <c r="E76" t="s">
        <v>169</v>
      </c>
      <c r="F76" s="7" t="s">
        <v>13</v>
      </c>
      <c r="G76" s="7" t="s">
        <v>154</v>
      </c>
      <c r="H76" t="s">
        <v>163</v>
      </c>
      <c r="J76" s="7" t="str">
        <f>C76&amp;D76&amp;E76&amp;F76&amp;G76</f>
        <v>NtrRiodeJ75.PQTC.04.03.26</v>
      </c>
      <c r="L76" t="str">
        <f>A76&amp;" "&amp;C76&amp;D76&amp;E76&amp;F76&amp;G76&amp;" "&amp;H76</f>
        <v>75 NtrRiodeJ75.PQTC.04.03.26 Рио-де-Жанейро</v>
      </c>
    </row>
    <row r="77" spans="1:12">
      <c r="A77" s="5">
        <v>76</v>
      </c>
      <c r="C77" t="s">
        <v>10</v>
      </c>
      <c r="D77" s="6" t="s">
        <v>152</v>
      </c>
      <c r="E77" t="s">
        <v>170</v>
      </c>
      <c r="F77" s="7" t="s">
        <v>13</v>
      </c>
      <c r="G77" s="7" t="s">
        <v>154</v>
      </c>
      <c r="H77" t="s">
        <v>163</v>
      </c>
      <c r="J77" s="7" t="str">
        <f>C77&amp;D77&amp;E77&amp;F77&amp;G77</f>
        <v>NtrRiodeJ76.PQTC.04.03.26</v>
      </c>
      <c r="L77" t="str">
        <f>A77&amp;" "&amp;C77&amp;D77&amp;E77&amp;F77&amp;G77&amp;" "&amp;H77</f>
        <v>76 NtrRiodeJ76.PQTC.04.03.26 Рио-де-Жанейро</v>
      </c>
    </row>
    <row r="78" spans="1:12">
      <c r="A78" s="5">
        <v>77</v>
      </c>
      <c r="C78" t="s">
        <v>10</v>
      </c>
      <c r="D78" s="6" t="s">
        <v>152</v>
      </c>
      <c r="E78" t="s">
        <v>171</v>
      </c>
      <c r="F78" s="7" t="s">
        <v>13</v>
      </c>
      <c r="G78" s="7" t="s">
        <v>154</v>
      </c>
      <c r="H78" t="s">
        <v>172</v>
      </c>
      <c r="J78" s="7" t="str">
        <f>C78&amp;D78&amp;E78&amp;F78&amp;G78</f>
        <v>NtrRiodeJ77.PQTC.04.03.26</v>
      </c>
      <c r="L78" t="str">
        <f>A78&amp;" "&amp;C78&amp;D78&amp;E78&amp;F78&amp;G78&amp;" "&amp;H78</f>
        <v>77 NtrRiodeJ77.PQTC.04.03.26 Ночной Рио-де-Жанейро</v>
      </c>
    </row>
    <row r="79" spans="1:12">
      <c r="A79" s="5">
        <v>78</v>
      </c>
      <c r="C79" t="s">
        <v>10</v>
      </c>
      <c r="D79" s="6" t="s">
        <v>152</v>
      </c>
      <c r="E79" t="s">
        <v>173</v>
      </c>
      <c r="F79" s="7" t="s">
        <v>13</v>
      </c>
      <c r="G79" s="7" t="s">
        <v>154</v>
      </c>
      <c r="H79" t="s">
        <v>172</v>
      </c>
      <c r="J79" s="7" t="str">
        <f>C79&amp;D79&amp;E79&amp;F79&amp;G79</f>
        <v>NtrRiodeJ78.PQTC.04.03.26</v>
      </c>
      <c r="L79" t="str">
        <f>A79&amp;" "&amp;C79&amp;D79&amp;E79&amp;F79&amp;G79&amp;" "&amp;H79</f>
        <v>78 NtrRiodeJ78.PQTC.04.03.26 Ночной Рио-де-Жанейро</v>
      </c>
    </row>
    <row r="80" spans="1:12">
      <c r="A80" s="5">
        <v>79</v>
      </c>
      <c r="C80" t="s">
        <v>10</v>
      </c>
      <c r="D80" s="6" t="s">
        <v>152</v>
      </c>
      <c r="E80" t="s">
        <v>174</v>
      </c>
      <c r="F80" s="7" t="s">
        <v>13</v>
      </c>
      <c r="G80" s="7" t="s">
        <v>154</v>
      </c>
      <c r="H80" t="s">
        <v>175</v>
      </c>
      <c r="J80" s="7" t="str">
        <f>C80&amp;D80&amp;E80&amp;F80&amp;G80</f>
        <v>NtrRiodeJ79.PQTC.04.03.26</v>
      </c>
      <c r="L80" t="str">
        <f>A80&amp;" "&amp;C80&amp;D80&amp;E80&amp;F80&amp;G80&amp;" "&amp;H80</f>
        <v>79 NtrRiodeJ79.PQTC.04.03.26 Рассвет Рио-де-Жанейро</v>
      </c>
    </row>
    <row r="81" spans="1:12">
      <c r="A81" s="5">
        <v>80</v>
      </c>
      <c r="C81" t="s">
        <v>10</v>
      </c>
      <c r="D81" s="6" t="s">
        <v>152</v>
      </c>
      <c r="E81" t="s">
        <v>176</v>
      </c>
      <c r="F81" s="7" t="s">
        <v>13</v>
      </c>
      <c r="G81" s="7" t="s">
        <v>154</v>
      </c>
      <c r="H81" t="s">
        <v>175</v>
      </c>
      <c r="J81" s="7" t="str">
        <f>C81&amp;D81&amp;E81&amp;F81&amp;G81</f>
        <v>NtrRiodeJ80.PQTC.04.03.26</v>
      </c>
      <c r="L81" t="str">
        <f>A81&amp;" "&amp;C81&amp;D81&amp;E81&amp;F81&amp;G81&amp;" "&amp;H81</f>
        <v>80 NtrRiodeJ80.PQTC.04.03.26 Рассвет Рио-де-Жанейро</v>
      </c>
    </row>
    <row r="82" spans="1:12">
      <c r="A82" s="5">
        <v>81</v>
      </c>
      <c r="C82" t="s">
        <v>10</v>
      </c>
      <c r="D82" s="6" t="s">
        <v>152</v>
      </c>
      <c r="E82" t="s">
        <v>177</v>
      </c>
      <c r="F82" s="7" t="s">
        <v>13</v>
      </c>
      <c r="G82" s="7" t="s">
        <v>154</v>
      </c>
      <c r="H82" t="s">
        <v>168</v>
      </c>
      <c r="J82" s="7" t="str">
        <f>C82&amp;D82&amp;E82&amp;F82&amp;G82</f>
        <v>NtrRiodeJ81.PQTC.04.03.26</v>
      </c>
      <c r="L82" t="str">
        <f>A82&amp;" "&amp;C82&amp;D82&amp;E82&amp;F82&amp;G82&amp;" "&amp;H82</f>
        <v>81 NtrRiodeJ81.PQTC.04.03.26 Вечерний Рио-де-Жанейро </v>
      </c>
    </row>
  </sheetData>
  <conditionalFormatting sqref="A2:A23">
    <cfRule type="expression" dxfId="0" priority="7">
      <formula>LEN($A2)&lt;&gt;2</formula>
    </cfRule>
  </conditionalFormatting>
  <conditionalFormatting sqref="C2:C11">
    <cfRule type="expression" dxfId="0" priority="6">
      <formula>LEN($C2)&lt;&gt;3</formula>
    </cfRule>
  </conditionalFormatting>
  <conditionalFormatting sqref="D2:D11">
    <cfRule type="expression" dxfId="0" priority="5">
      <formula>LEN($D2)&lt;&gt;6</formula>
    </cfRule>
  </conditionalFormatting>
  <conditionalFormatting sqref="E2:E11">
    <cfRule type="expression" dxfId="0" priority="4">
      <formula>LEN($E2)&lt;&gt;3</formula>
    </cfRule>
  </conditionalFormatting>
  <conditionalFormatting sqref="F2:F17">
    <cfRule type="expression" dxfId="0" priority="3">
      <formula>LEN($F2)&lt;&gt;5</formula>
    </cfRule>
  </conditionalFormatting>
  <conditionalFormatting sqref="F18:F82">
    <cfRule type="expression" dxfId="0" priority="1">
      <formula>LEN($F18)&lt;&gt;5</formula>
    </cfRule>
  </conditionalFormatting>
  <conditionalFormatting sqref="G2:G11">
    <cfRule type="expression" dxfId="0" priority="2">
      <formula>LEN($G2)&lt;&gt;8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opLeftCell="A7" workbookViewId="0">
      <selection activeCell="A27" sqref="A27"/>
    </sheetView>
  </sheetViews>
  <sheetFormatPr defaultColWidth="9.10526315789474" defaultRowHeight="14.4" outlineLevelCol="1"/>
  <cols>
    <col min="1" max="1" width="45.1052631578947" style="1" customWidth="1"/>
    <col min="2" max="2" width="31.8859649122807" style="1" customWidth="1"/>
    <col min="3" max="16384" width="9.10526315789474" style="1"/>
  </cols>
  <sheetData>
    <row r="1" ht="16.35" spans="1:2">
      <c r="A1" s="2" t="s">
        <v>178</v>
      </c>
      <c r="B1" s="2" t="s">
        <v>179</v>
      </c>
    </row>
    <row r="2" ht="16.35" spans="1:2">
      <c r="A2" s="3" t="s">
        <v>180</v>
      </c>
      <c r="B2" s="3" t="s">
        <v>181</v>
      </c>
    </row>
    <row r="3" ht="16.35" spans="1:2">
      <c r="A3" s="4" t="s">
        <v>182</v>
      </c>
      <c r="B3" s="4" t="s">
        <v>183</v>
      </c>
    </row>
    <row r="4" ht="16.35" spans="1:2">
      <c r="A4" s="4" t="s">
        <v>184</v>
      </c>
      <c r="B4" s="4" t="s">
        <v>185</v>
      </c>
    </row>
    <row r="5" ht="16.35" spans="1:2">
      <c r="A5" s="4" t="s">
        <v>186</v>
      </c>
      <c r="B5" s="4" t="s">
        <v>187</v>
      </c>
    </row>
    <row r="6" ht="16.35" spans="1:2">
      <c r="A6" s="3" t="s">
        <v>188</v>
      </c>
      <c r="B6" s="3" t="s">
        <v>189</v>
      </c>
    </row>
    <row r="7" ht="16.35" spans="1:2">
      <c r="A7" s="4" t="s">
        <v>190</v>
      </c>
      <c r="B7" s="4" t="s">
        <v>191</v>
      </c>
    </row>
    <row r="8" ht="16.35" spans="1:2">
      <c r="A8" s="4" t="s">
        <v>192</v>
      </c>
      <c r="B8" s="4" t="s">
        <v>193</v>
      </c>
    </row>
    <row r="9" ht="16.35" spans="1:2">
      <c r="A9" s="4" t="s">
        <v>194</v>
      </c>
      <c r="B9" s="4" t="s">
        <v>195</v>
      </c>
    </row>
    <row r="10" ht="16.35" spans="1:2">
      <c r="A10" s="4" t="s">
        <v>196</v>
      </c>
      <c r="B10" s="4" t="s">
        <v>197</v>
      </c>
    </row>
    <row r="11" ht="16.35" spans="1:2">
      <c r="A11" s="4" t="s">
        <v>198</v>
      </c>
      <c r="B11" s="4" t="s">
        <v>199</v>
      </c>
    </row>
    <row r="12" ht="16.35" spans="1:2">
      <c r="A12" s="4" t="s">
        <v>200</v>
      </c>
      <c r="B12" s="4" t="s">
        <v>201</v>
      </c>
    </row>
    <row r="13" ht="16.35" spans="1:2">
      <c r="A13" s="4" t="s">
        <v>202</v>
      </c>
      <c r="B13" s="4" t="s">
        <v>203</v>
      </c>
    </row>
    <row r="14" ht="16.35" spans="1:2">
      <c r="A14" s="4" t="s">
        <v>204</v>
      </c>
      <c r="B14" s="4" t="s">
        <v>205</v>
      </c>
    </row>
    <row r="15" ht="16.35" spans="1:2">
      <c r="A15" s="3" t="s">
        <v>206</v>
      </c>
      <c r="B15" s="3" t="s">
        <v>207</v>
      </c>
    </row>
    <row r="16" ht="16.35" spans="1:2">
      <c r="A16" s="4" t="s">
        <v>208</v>
      </c>
      <c r="B16" s="4" t="s">
        <v>19</v>
      </c>
    </row>
    <row r="17" ht="16.35" spans="1:2">
      <c r="A17" s="4" t="s">
        <v>209</v>
      </c>
      <c r="B17" s="4" t="s">
        <v>210</v>
      </c>
    </row>
    <row r="18" ht="16.35" spans="1:2">
      <c r="A18" s="3" t="s">
        <v>211</v>
      </c>
      <c r="B18" s="3" t="s">
        <v>212</v>
      </c>
    </row>
    <row r="19" ht="16.35" spans="1:2">
      <c r="A19" s="4" t="s">
        <v>213</v>
      </c>
      <c r="B19" s="4" t="s">
        <v>214</v>
      </c>
    </row>
    <row r="20" ht="16.35" spans="1:2">
      <c r="A20" s="4" t="s">
        <v>215</v>
      </c>
      <c r="B20" s="4" t="s">
        <v>216</v>
      </c>
    </row>
    <row r="21" ht="16.35" spans="1:2">
      <c r="A21" s="3" t="s">
        <v>217</v>
      </c>
      <c r="B21" s="3" t="s">
        <v>218</v>
      </c>
    </row>
    <row r="22" ht="16.35" spans="1:2">
      <c r="A22" s="4" t="s">
        <v>219</v>
      </c>
      <c r="B22" s="4" t="s">
        <v>10</v>
      </c>
    </row>
    <row r="23" ht="16.35" spans="1:2">
      <c r="A23" s="3" t="s">
        <v>220</v>
      </c>
      <c r="B23" s="3" t="s">
        <v>221</v>
      </c>
    </row>
    <row r="24" ht="16.35" spans="1:2">
      <c r="A24" s="4" t="s">
        <v>222</v>
      </c>
      <c r="B24" s="4" t="s">
        <v>223</v>
      </c>
    </row>
    <row r="25" ht="16.35" spans="1:2">
      <c r="A25" s="4" t="s">
        <v>224</v>
      </c>
      <c r="B25" s="4" t="s">
        <v>225</v>
      </c>
    </row>
    <row r="26" ht="16.35" spans="1:2">
      <c r="A26" s="3" t="s">
        <v>226</v>
      </c>
      <c r="B26" s="3" t="s">
        <v>227</v>
      </c>
    </row>
    <row r="27" ht="16.35" spans="1:2">
      <c r="A27" s="4" t="s">
        <v>228</v>
      </c>
      <c r="B27" s="4" t="s">
        <v>40</v>
      </c>
    </row>
    <row r="28" ht="16.35" spans="1:2">
      <c r="A28" s="3" t="s">
        <v>229</v>
      </c>
      <c r="B28" s="3" t="s">
        <v>230</v>
      </c>
    </row>
    <row r="29" ht="16.35" spans="1:2">
      <c r="A29" s="4" t="s">
        <v>231</v>
      </c>
      <c r="B29" s="4" t="s">
        <v>232</v>
      </c>
    </row>
    <row r="30" ht="16.35" spans="1:2">
      <c r="A30" s="4" t="s">
        <v>233</v>
      </c>
      <c r="B30" s="4" t="s">
        <v>234</v>
      </c>
    </row>
    <row r="31" ht="16.35" spans="1:2">
      <c r="A31" s="3" t="s">
        <v>235</v>
      </c>
      <c r="B31" s="3" t="s">
        <v>236</v>
      </c>
    </row>
    <row r="32" ht="16.35" spans="1:2">
      <c r="A32" s="4" t="s">
        <v>237</v>
      </c>
      <c r="B32" s="4" t="s">
        <v>238</v>
      </c>
    </row>
    <row r="33" ht="16.35" spans="1:2">
      <c r="A33" s="4" t="s">
        <v>239</v>
      </c>
      <c r="B33" s="4" t="s">
        <v>240</v>
      </c>
    </row>
    <row r="34" ht="16.35" spans="1:2">
      <c r="A34" s="3" t="s">
        <v>241</v>
      </c>
      <c r="B34" s="3" t="s">
        <v>242</v>
      </c>
    </row>
    <row r="35" ht="16.35" spans="1:2">
      <c r="A35" s="4" t="s">
        <v>243</v>
      </c>
      <c r="B35" s="4" t="s">
        <v>244</v>
      </c>
    </row>
    <row r="36" ht="16.35" spans="1:2">
      <c r="A36" s="4" t="s">
        <v>245</v>
      </c>
      <c r="B36" s="4" t="s">
        <v>246</v>
      </c>
    </row>
    <row r="37" ht="16.35" spans="1:2">
      <c r="A37" s="4" t="s">
        <v>247</v>
      </c>
      <c r="B37" s="4" t="s">
        <v>248</v>
      </c>
    </row>
    <row r="38" ht="16.35" spans="1:2">
      <c r="A38" s="4" t="s">
        <v>249</v>
      </c>
      <c r="B38" s="4" t="s">
        <v>250</v>
      </c>
    </row>
    <row r="39" ht="16.35" spans="1:2">
      <c r="A39" s="4" t="s">
        <v>251</v>
      </c>
      <c r="B39" s="4" t="s">
        <v>252</v>
      </c>
    </row>
    <row r="40" ht="16.35" spans="1:2">
      <c r="A40" s="3" t="s">
        <v>253</v>
      </c>
      <c r="B40" s="3" t="s">
        <v>254</v>
      </c>
    </row>
    <row r="41" ht="16.35" spans="1:2">
      <c r="A41" s="4" t="s">
        <v>255</v>
      </c>
      <c r="B41" s="4" t="s">
        <v>256</v>
      </c>
    </row>
    <row r="42" ht="16.35" spans="1:2">
      <c r="A42" s="4" t="s">
        <v>257</v>
      </c>
      <c r="B42" s="4" t="s">
        <v>258</v>
      </c>
    </row>
    <row r="43" ht="16.35" spans="1:2">
      <c r="A43" s="3" t="s">
        <v>259</v>
      </c>
      <c r="B43" s="3" t="s">
        <v>260</v>
      </c>
    </row>
    <row r="44" ht="16.35" spans="1:2">
      <c r="A44" s="4" t="s">
        <v>261</v>
      </c>
      <c r="B44" s="4" t="s">
        <v>262</v>
      </c>
    </row>
    <row r="45" ht="16.35" spans="1:2">
      <c r="A45" s="4" t="s">
        <v>263</v>
      </c>
      <c r="B45" s="4" t="s">
        <v>264</v>
      </c>
    </row>
    <row r="46" ht="16.35" spans="1:2">
      <c r="A46" s="4" t="s">
        <v>265</v>
      </c>
      <c r="B46" s="4" t="s">
        <v>266</v>
      </c>
    </row>
    <row r="47" ht="16.35" spans="1:2">
      <c r="A47" s="4" t="s">
        <v>267</v>
      </c>
      <c r="B47" s="4" t="s">
        <v>268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Артикулы</vt:lpstr>
      <vt:lpstr>Аббревиатуры товаров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2015-06-05T18:19:00Z</dcterms:created>
  <dcterms:modified xsi:type="dcterms:W3CDTF">2026-03-04T17:36:10Z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60C711BAD8CC443881668322E98CD16B_12</vt:lpwstr>
  </property>
  <property fmtid="{D5CDD505-2E9C-101B-9397-08002B2CF9AE}" pid="3" name="KSOProductBuildVer">
    <vt:lpwstr>1049-12.2.0.23196</vt:lpwstr>
  </property>
</Properties>
</file>